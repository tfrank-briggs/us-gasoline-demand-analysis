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mc:AlternateContent xmlns:mc="http://schemas.openxmlformats.org/markup-compatibility/2006">
    <mc:Choice Requires="x15">
      <x15ac:absPath xmlns:x15ac="http://schemas.microsoft.com/office/spreadsheetml/2010/11/ac" url="/Users/tonte/Documents/MBA 2026-2027/BFIN 515 - Economic Analysis/"/>
    </mc:Choice>
  </mc:AlternateContent>
  <xr:revisionPtr revIDLastSave="0" documentId="8_{EBA9A21C-C2CC-7240-9FB2-ACEBB51C26F1}" xr6:coauthVersionLast="47" xr6:coauthVersionMax="47" xr10:uidLastSave="{00000000-0000-0000-0000-000000000000}"/>
  <bookViews>
    <workbookView xWindow="0" yWindow="680" windowWidth="34200" windowHeight="21460" activeTab="1" xr2:uid="{00000000-000D-0000-FFFF-FFFF00000000}"/>
  </bookViews>
  <sheets>
    <sheet name="Start Here" sheetId="5" r:id="rId1"/>
    <sheet name="Monthly Data" sheetId="2" r:id="rId2"/>
    <sheet name="OLS Results" sheetId="1" r:id="rId3"/>
    <sheet name="Robustness" sheetId="4" r:id="rId4"/>
    <sheet name="Sources and Notes" sheetId="3"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193" i="2" l="1"/>
  <c r="Q193" i="2"/>
  <c r="P193" i="2"/>
  <c r="O193" i="2"/>
  <c r="N193" i="2"/>
  <c r="M193" i="2"/>
  <c r="L193" i="2"/>
  <c r="K193" i="2"/>
  <c r="J193" i="2"/>
  <c r="I193" i="2"/>
  <c r="H193" i="2"/>
  <c r="G193" i="2"/>
  <c r="F193" i="2"/>
  <c r="E193" i="2"/>
  <c r="R192" i="2"/>
  <c r="Q192" i="2"/>
  <c r="P192" i="2"/>
  <c r="O192" i="2"/>
  <c r="N192" i="2"/>
  <c r="M192" i="2"/>
  <c r="L192" i="2"/>
  <c r="K192" i="2"/>
  <c r="J192" i="2"/>
  <c r="I192" i="2"/>
  <c r="H192" i="2"/>
  <c r="G192" i="2"/>
  <c r="F192" i="2"/>
  <c r="E192" i="2"/>
  <c r="R191" i="2"/>
  <c r="Q191" i="2"/>
  <c r="P191" i="2"/>
  <c r="O191" i="2"/>
  <c r="N191" i="2"/>
  <c r="M191" i="2"/>
  <c r="L191" i="2"/>
  <c r="K191" i="2"/>
  <c r="J191" i="2"/>
  <c r="I191" i="2"/>
  <c r="H191" i="2"/>
  <c r="G191" i="2"/>
  <c r="F191" i="2"/>
  <c r="E191" i="2"/>
  <c r="R190" i="2"/>
  <c r="Q190" i="2"/>
  <c r="P190" i="2"/>
  <c r="O190" i="2"/>
  <c r="N190" i="2"/>
  <c r="M190" i="2"/>
  <c r="L190" i="2"/>
  <c r="K190" i="2"/>
  <c r="J190" i="2"/>
  <c r="I190" i="2"/>
  <c r="H190" i="2"/>
  <c r="G190" i="2"/>
  <c r="F190" i="2"/>
  <c r="E190" i="2"/>
  <c r="R189" i="2"/>
  <c r="Q189" i="2"/>
  <c r="P189" i="2"/>
  <c r="O189" i="2"/>
  <c r="N189" i="2"/>
  <c r="M189" i="2"/>
  <c r="L189" i="2"/>
  <c r="K189" i="2"/>
  <c r="J189" i="2"/>
  <c r="I189" i="2"/>
  <c r="H189" i="2"/>
  <c r="G189" i="2"/>
  <c r="F189" i="2"/>
  <c r="E189" i="2"/>
  <c r="R188" i="2"/>
  <c r="Q188" i="2"/>
  <c r="P188" i="2"/>
  <c r="O188" i="2"/>
  <c r="N188" i="2"/>
  <c r="M188" i="2"/>
  <c r="L188" i="2"/>
  <c r="K188" i="2"/>
  <c r="J188" i="2"/>
  <c r="I188" i="2"/>
  <c r="H188" i="2"/>
  <c r="G188" i="2"/>
  <c r="F188" i="2"/>
  <c r="E188" i="2"/>
  <c r="R187" i="2"/>
  <c r="Q187" i="2"/>
  <c r="P187" i="2"/>
  <c r="O187" i="2"/>
  <c r="N187" i="2"/>
  <c r="M187" i="2"/>
  <c r="L187" i="2"/>
  <c r="K187" i="2"/>
  <c r="J187" i="2"/>
  <c r="I187" i="2"/>
  <c r="H187" i="2"/>
  <c r="G187" i="2"/>
  <c r="F187" i="2"/>
  <c r="E187" i="2"/>
  <c r="R186" i="2"/>
  <c r="Q186" i="2"/>
  <c r="P186" i="2"/>
  <c r="O186" i="2"/>
  <c r="N186" i="2"/>
  <c r="M186" i="2"/>
  <c r="L186" i="2"/>
  <c r="K186" i="2"/>
  <c r="J186" i="2"/>
  <c r="I186" i="2"/>
  <c r="H186" i="2"/>
  <c r="G186" i="2"/>
  <c r="F186" i="2"/>
  <c r="E186" i="2"/>
  <c r="R185" i="2"/>
  <c r="Q185" i="2"/>
  <c r="P185" i="2"/>
  <c r="O185" i="2"/>
  <c r="N185" i="2"/>
  <c r="M185" i="2"/>
  <c r="L185" i="2"/>
  <c r="K185" i="2"/>
  <c r="J185" i="2"/>
  <c r="I185" i="2"/>
  <c r="H185" i="2"/>
  <c r="G185" i="2"/>
  <c r="F185" i="2"/>
  <c r="E185" i="2"/>
  <c r="R184" i="2"/>
  <c r="Q184" i="2"/>
  <c r="P184" i="2"/>
  <c r="O184" i="2"/>
  <c r="N184" i="2"/>
  <c r="M184" i="2"/>
  <c r="L184" i="2"/>
  <c r="K184" i="2"/>
  <c r="J184" i="2"/>
  <c r="I184" i="2"/>
  <c r="H184" i="2"/>
  <c r="G184" i="2"/>
  <c r="F184" i="2"/>
  <c r="E184" i="2"/>
  <c r="R183" i="2"/>
  <c r="Q183" i="2"/>
  <c r="P183" i="2"/>
  <c r="O183" i="2"/>
  <c r="N183" i="2"/>
  <c r="M183" i="2"/>
  <c r="L183" i="2"/>
  <c r="K183" i="2"/>
  <c r="J183" i="2"/>
  <c r="I183" i="2"/>
  <c r="H183" i="2"/>
  <c r="G183" i="2"/>
  <c r="F183" i="2"/>
  <c r="E183" i="2"/>
  <c r="R182" i="2"/>
  <c r="Q182" i="2"/>
  <c r="P182" i="2"/>
  <c r="O182" i="2"/>
  <c r="N182" i="2"/>
  <c r="M182" i="2"/>
  <c r="L182" i="2"/>
  <c r="K182" i="2"/>
  <c r="J182" i="2"/>
  <c r="I182" i="2"/>
  <c r="H182" i="2"/>
  <c r="G182" i="2"/>
  <c r="F182" i="2"/>
  <c r="E182" i="2"/>
  <c r="R181" i="2"/>
  <c r="Q181" i="2"/>
  <c r="P181" i="2"/>
  <c r="O181" i="2"/>
  <c r="N181" i="2"/>
  <c r="M181" i="2"/>
  <c r="L181" i="2"/>
  <c r="K181" i="2"/>
  <c r="J181" i="2"/>
  <c r="I181" i="2"/>
  <c r="H181" i="2"/>
  <c r="G181" i="2"/>
  <c r="F181" i="2"/>
  <c r="E181" i="2"/>
  <c r="R180" i="2"/>
  <c r="Q180" i="2"/>
  <c r="P180" i="2"/>
  <c r="O180" i="2"/>
  <c r="N180" i="2"/>
  <c r="M180" i="2"/>
  <c r="L180" i="2"/>
  <c r="K180" i="2"/>
  <c r="J180" i="2"/>
  <c r="I180" i="2"/>
  <c r="H180" i="2"/>
  <c r="G180" i="2"/>
  <c r="F180" i="2"/>
  <c r="E180" i="2"/>
  <c r="R179" i="2"/>
  <c r="Q179" i="2"/>
  <c r="P179" i="2"/>
  <c r="O179" i="2"/>
  <c r="N179" i="2"/>
  <c r="M179" i="2"/>
  <c r="L179" i="2"/>
  <c r="K179" i="2"/>
  <c r="J179" i="2"/>
  <c r="I179" i="2"/>
  <c r="H179" i="2"/>
  <c r="G179" i="2"/>
  <c r="F179" i="2"/>
  <c r="E179" i="2"/>
  <c r="R178" i="2"/>
  <c r="Q178" i="2"/>
  <c r="P178" i="2"/>
  <c r="O178" i="2"/>
  <c r="N178" i="2"/>
  <c r="M178" i="2"/>
  <c r="L178" i="2"/>
  <c r="K178" i="2"/>
  <c r="J178" i="2"/>
  <c r="I178" i="2"/>
  <c r="H178" i="2"/>
  <c r="G178" i="2"/>
  <c r="F178" i="2"/>
  <c r="E178" i="2"/>
  <c r="R177" i="2"/>
  <c r="Q177" i="2"/>
  <c r="P177" i="2"/>
  <c r="O177" i="2"/>
  <c r="N177" i="2"/>
  <c r="M177" i="2"/>
  <c r="L177" i="2"/>
  <c r="K177" i="2"/>
  <c r="J177" i="2"/>
  <c r="I177" i="2"/>
  <c r="H177" i="2"/>
  <c r="G177" i="2"/>
  <c r="F177" i="2"/>
  <c r="E177" i="2"/>
  <c r="R176" i="2"/>
  <c r="Q176" i="2"/>
  <c r="P176" i="2"/>
  <c r="O176" i="2"/>
  <c r="N176" i="2"/>
  <c r="M176" i="2"/>
  <c r="L176" i="2"/>
  <c r="K176" i="2"/>
  <c r="J176" i="2"/>
  <c r="I176" i="2"/>
  <c r="H176" i="2"/>
  <c r="G176" i="2"/>
  <c r="F176" i="2"/>
  <c r="E176" i="2"/>
  <c r="R175" i="2"/>
  <c r="Q175" i="2"/>
  <c r="P175" i="2"/>
  <c r="O175" i="2"/>
  <c r="N175" i="2"/>
  <c r="M175" i="2"/>
  <c r="L175" i="2"/>
  <c r="K175" i="2"/>
  <c r="J175" i="2"/>
  <c r="I175" i="2"/>
  <c r="H175" i="2"/>
  <c r="G175" i="2"/>
  <c r="F175" i="2"/>
  <c r="E175" i="2"/>
  <c r="R174" i="2"/>
  <c r="Q174" i="2"/>
  <c r="P174" i="2"/>
  <c r="O174" i="2"/>
  <c r="N174" i="2"/>
  <c r="M174" i="2"/>
  <c r="L174" i="2"/>
  <c r="K174" i="2"/>
  <c r="J174" i="2"/>
  <c r="I174" i="2"/>
  <c r="H174" i="2"/>
  <c r="G174" i="2"/>
  <c r="F174" i="2"/>
  <c r="E174" i="2"/>
  <c r="R173" i="2"/>
  <c r="Q173" i="2"/>
  <c r="P173" i="2"/>
  <c r="O173" i="2"/>
  <c r="N173" i="2"/>
  <c r="M173" i="2"/>
  <c r="L173" i="2"/>
  <c r="K173" i="2"/>
  <c r="J173" i="2"/>
  <c r="I173" i="2"/>
  <c r="H173" i="2"/>
  <c r="G173" i="2"/>
  <c r="F173" i="2"/>
  <c r="E173" i="2"/>
  <c r="R172" i="2"/>
  <c r="Q172" i="2"/>
  <c r="P172" i="2"/>
  <c r="O172" i="2"/>
  <c r="N172" i="2"/>
  <c r="M172" i="2"/>
  <c r="L172" i="2"/>
  <c r="K172" i="2"/>
  <c r="J172" i="2"/>
  <c r="I172" i="2"/>
  <c r="H172" i="2"/>
  <c r="G172" i="2"/>
  <c r="F172" i="2"/>
  <c r="E172" i="2"/>
  <c r="R171" i="2"/>
  <c r="Q171" i="2"/>
  <c r="P171" i="2"/>
  <c r="O171" i="2"/>
  <c r="N171" i="2"/>
  <c r="M171" i="2"/>
  <c r="L171" i="2"/>
  <c r="K171" i="2"/>
  <c r="J171" i="2"/>
  <c r="I171" i="2"/>
  <c r="H171" i="2"/>
  <c r="G171" i="2"/>
  <c r="F171" i="2"/>
  <c r="E171" i="2"/>
  <c r="R170" i="2"/>
  <c r="Q170" i="2"/>
  <c r="P170" i="2"/>
  <c r="O170" i="2"/>
  <c r="N170" i="2"/>
  <c r="M170" i="2"/>
  <c r="L170" i="2"/>
  <c r="K170" i="2"/>
  <c r="J170" i="2"/>
  <c r="I170" i="2"/>
  <c r="H170" i="2"/>
  <c r="G170" i="2"/>
  <c r="F170" i="2"/>
  <c r="E170" i="2"/>
  <c r="R169" i="2"/>
  <c r="Q169" i="2"/>
  <c r="P169" i="2"/>
  <c r="O169" i="2"/>
  <c r="N169" i="2"/>
  <c r="M169" i="2"/>
  <c r="L169" i="2"/>
  <c r="K169" i="2"/>
  <c r="J169" i="2"/>
  <c r="I169" i="2"/>
  <c r="H169" i="2"/>
  <c r="G169" i="2"/>
  <c r="F169" i="2"/>
  <c r="E169" i="2"/>
  <c r="R168" i="2"/>
  <c r="Q168" i="2"/>
  <c r="P168" i="2"/>
  <c r="O168" i="2"/>
  <c r="N168" i="2"/>
  <c r="M168" i="2"/>
  <c r="L168" i="2"/>
  <c r="K168" i="2"/>
  <c r="J168" i="2"/>
  <c r="I168" i="2"/>
  <c r="H168" i="2"/>
  <c r="G168" i="2"/>
  <c r="F168" i="2"/>
  <c r="E168" i="2"/>
  <c r="R167" i="2"/>
  <c r="Q167" i="2"/>
  <c r="P167" i="2"/>
  <c r="O167" i="2"/>
  <c r="N167" i="2"/>
  <c r="M167" i="2"/>
  <c r="L167" i="2"/>
  <c r="K167" i="2"/>
  <c r="J167" i="2"/>
  <c r="I167" i="2"/>
  <c r="H167" i="2"/>
  <c r="G167" i="2"/>
  <c r="F167" i="2"/>
  <c r="E167" i="2"/>
  <c r="R166" i="2"/>
  <c r="Q166" i="2"/>
  <c r="P166" i="2"/>
  <c r="O166" i="2"/>
  <c r="N166" i="2"/>
  <c r="M166" i="2"/>
  <c r="L166" i="2"/>
  <c r="K166" i="2"/>
  <c r="J166" i="2"/>
  <c r="I166" i="2"/>
  <c r="H166" i="2"/>
  <c r="G166" i="2"/>
  <c r="F166" i="2"/>
  <c r="E166" i="2"/>
  <c r="R165" i="2"/>
  <c r="Q165" i="2"/>
  <c r="P165" i="2"/>
  <c r="O165" i="2"/>
  <c r="N165" i="2"/>
  <c r="M165" i="2"/>
  <c r="L165" i="2"/>
  <c r="K165" i="2"/>
  <c r="J165" i="2"/>
  <c r="I165" i="2"/>
  <c r="H165" i="2"/>
  <c r="G165" i="2"/>
  <c r="F165" i="2"/>
  <c r="E165" i="2"/>
  <c r="R164" i="2"/>
  <c r="Q164" i="2"/>
  <c r="P164" i="2"/>
  <c r="O164" i="2"/>
  <c r="N164" i="2"/>
  <c r="M164" i="2"/>
  <c r="L164" i="2"/>
  <c r="K164" i="2"/>
  <c r="J164" i="2"/>
  <c r="I164" i="2"/>
  <c r="H164" i="2"/>
  <c r="G164" i="2"/>
  <c r="F164" i="2"/>
  <c r="E164" i="2"/>
  <c r="R163" i="2"/>
  <c r="Q163" i="2"/>
  <c r="P163" i="2"/>
  <c r="O163" i="2"/>
  <c r="N163" i="2"/>
  <c r="M163" i="2"/>
  <c r="L163" i="2"/>
  <c r="K163" i="2"/>
  <c r="J163" i="2"/>
  <c r="I163" i="2"/>
  <c r="H163" i="2"/>
  <c r="G163" i="2"/>
  <c r="F163" i="2"/>
  <c r="E163" i="2"/>
  <c r="R162" i="2"/>
  <c r="Q162" i="2"/>
  <c r="P162" i="2"/>
  <c r="O162" i="2"/>
  <c r="N162" i="2"/>
  <c r="M162" i="2"/>
  <c r="L162" i="2"/>
  <c r="K162" i="2"/>
  <c r="J162" i="2"/>
  <c r="I162" i="2"/>
  <c r="H162" i="2"/>
  <c r="G162" i="2"/>
  <c r="F162" i="2"/>
  <c r="E162" i="2"/>
  <c r="R161" i="2"/>
  <c r="Q161" i="2"/>
  <c r="P161" i="2"/>
  <c r="O161" i="2"/>
  <c r="N161" i="2"/>
  <c r="M161" i="2"/>
  <c r="L161" i="2"/>
  <c r="K161" i="2"/>
  <c r="J161" i="2"/>
  <c r="I161" i="2"/>
  <c r="H161" i="2"/>
  <c r="G161" i="2"/>
  <c r="F161" i="2"/>
  <c r="E161" i="2"/>
  <c r="R160" i="2"/>
  <c r="Q160" i="2"/>
  <c r="P160" i="2"/>
  <c r="O160" i="2"/>
  <c r="N160" i="2"/>
  <c r="M160" i="2"/>
  <c r="L160" i="2"/>
  <c r="K160" i="2"/>
  <c r="J160" i="2"/>
  <c r="I160" i="2"/>
  <c r="H160" i="2"/>
  <c r="G160" i="2"/>
  <c r="F160" i="2"/>
  <c r="E160" i="2"/>
  <c r="R159" i="2"/>
  <c r="Q159" i="2"/>
  <c r="P159" i="2"/>
  <c r="O159" i="2"/>
  <c r="N159" i="2"/>
  <c r="M159" i="2"/>
  <c r="L159" i="2"/>
  <c r="K159" i="2"/>
  <c r="J159" i="2"/>
  <c r="I159" i="2"/>
  <c r="H159" i="2"/>
  <c r="G159" i="2"/>
  <c r="F159" i="2"/>
  <c r="E159" i="2"/>
  <c r="R158" i="2"/>
  <c r="Q158" i="2"/>
  <c r="P158" i="2"/>
  <c r="O158" i="2"/>
  <c r="N158" i="2"/>
  <c r="M158" i="2"/>
  <c r="L158" i="2"/>
  <c r="K158" i="2"/>
  <c r="J158" i="2"/>
  <c r="I158" i="2"/>
  <c r="H158" i="2"/>
  <c r="G158" i="2"/>
  <c r="F158" i="2"/>
  <c r="E158" i="2"/>
  <c r="R157" i="2"/>
  <c r="Q157" i="2"/>
  <c r="P157" i="2"/>
  <c r="O157" i="2"/>
  <c r="N157" i="2"/>
  <c r="M157" i="2"/>
  <c r="L157" i="2"/>
  <c r="K157" i="2"/>
  <c r="J157" i="2"/>
  <c r="I157" i="2"/>
  <c r="H157" i="2"/>
  <c r="G157" i="2"/>
  <c r="F157" i="2"/>
  <c r="E157" i="2"/>
  <c r="R156" i="2"/>
  <c r="Q156" i="2"/>
  <c r="P156" i="2"/>
  <c r="O156" i="2"/>
  <c r="N156" i="2"/>
  <c r="M156" i="2"/>
  <c r="L156" i="2"/>
  <c r="K156" i="2"/>
  <c r="J156" i="2"/>
  <c r="I156" i="2"/>
  <c r="H156" i="2"/>
  <c r="G156" i="2"/>
  <c r="F156" i="2"/>
  <c r="E156" i="2"/>
  <c r="R155" i="2"/>
  <c r="Q155" i="2"/>
  <c r="P155" i="2"/>
  <c r="O155" i="2"/>
  <c r="N155" i="2"/>
  <c r="M155" i="2"/>
  <c r="L155" i="2"/>
  <c r="K155" i="2"/>
  <c r="J155" i="2"/>
  <c r="I155" i="2"/>
  <c r="H155" i="2"/>
  <c r="G155" i="2"/>
  <c r="F155" i="2"/>
  <c r="E155" i="2"/>
  <c r="R154" i="2"/>
  <c r="Q154" i="2"/>
  <c r="P154" i="2"/>
  <c r="O154" i="2"/>
  <c r="N154" i="2"/>
  <c r="M154" i="2"/>
  <c r="L154" i="2"/>
  <c r="K154" i="2"/>
  <c r="J154" i="2"/>
  <c r="I154" i="2"/>
  <c r="H154" i="2"/>
  <c r="G154" i="2"/>
  <c r="F154" i="2"/>
  <c r="E154" i="2"/>
  <c r="R153" i="2"/>
  <c r="Q153" i="2"/>
  <c r="P153" i="2"/>
  <c r="O153" i="2"/>
  <c r="N153" i="2"/>
  <c r="M153" i="2"/>
  <c r="L153" i="2"/>
  <c r="K153" i="2"/>
  <c r="J153" i="2"/>
  <c r="I153" i="2"/>
  <c r="H153" i="2"/>
  <c r="G153" i="2"/>
  <c r="F153" i="2"/>
  <c r="E153" i="2"/>
  <c r="R152" i="2"/>
  <c r="Q152" i="2"/>
  <c r="P152" i="2"/>
  <c r="O152" i="2"/>
  <c r="N152" i="2"/>
  <c r="M152" i="2"/>
  <c r="L152" i="2"/>
  <c r="K152" i="2"/>
  <c r="J152" i="2"/>
  <c r="I152" i="2"/>
  <c r="H152" i="2"/>
  <c r="G152" i="2"/>
  <c r="F152" i="2"/>
  <c r="E152" i="2"/>
  <c r="R151" i="2"/>
  <c r="Q151" i="2"/>
  <c r="P151" i="2"/>
  <c r="O151" i="2"/>
  <c r="N151" i="2"/>
  <c r="M151" i="2"/>
  <c r="L151" i="2"/>
  <c r="K151" i="2"/>
  <c r="J151" i="2"/>
  <c r="I151" i="2"/>
  <c r="H151" i="2"/>
  <c r="G151" i="2"/>
  <c r="F151" i="2"/>
  <c r="E151" i="2"/>
  <c r="R150" i="2"/>
  <c r="Q150" i="2"/>
  <c r="P150" i="2"/>
  <c r="O150" i="2"/>
  <c r="N150" i="2"/>
  <c r="M150" i="2"/>
  <c r="L150" i="2"/>
  <c r="K150" i="2"/>
  <c r="J150" i="2"/>
  <c r="I150" i="2"/>
  <c r="H150" i="2"/>
  <c r="G150" i="2"/>
  <c r="F150" i="2"/>
  <c r="E150" i="2"/>
  <c r="R149" i="2"/>
  <c r="Q149" i="2"/>
  <c r="P149" i="2"/>
  <c r="O149" i="2"/>
  <c r="N149" i="2"/>
  <c r="M149" i="2"/>
  <c r="L149" i="2"/>
  <c r="K149" i="2"/>
  <c r="J149" i="2"/>
  <c r="I149" i="2"/>
  <c r="H149" i="2"/>
  <c r="G149" i="2"/>
  <c r="F149" i="2"/>
  <c r="E149" i="2"/>
  <c r="R148" i="2"/>
  <c r="Q148" i="2"/>
  <c r="P148" i="2"/>
  <c r="O148" i="2"/>
  <c r="N148" i="2"/>
  <c r="M148" i="2"/>
  <c r="L148" i="2"/>
  <c r="K148" i="2"/>
  <c r="J148" i="2"/>
  <c r="I148" i="2"/>
  <c r="H148" i="2"/>
  <c r="G148" i="2"/>
  <c r="F148" i="2"/>
  <c r="E148" i="2"/>
  <c r="R147" i="2"/>
  <c r="Q147" i="2"/>
  <c r="P147" i="2"/>
  <c r="O147" i="2"/>
  <c r="N147" i="2"/>
  <c r="M147" i="2"/>
  <c r="L147" i="2"/>
  <c r="K147" i="2"/>
  <c r="J147" i="2"/>
  <c r="I147" i="2"/>
  <c r="H147" i="2"/>
  <c r="G147" i="2"/>
  <c r="F147" i="2"/>
  <c r="E147" i="2"/>
  <c r="R146" i="2"/>
  <c r="Q146" i="2"/>
  <c r="P146" i="2"/>
  <c r="O146" i="2"/>
  <c r="N146" i="2"/>
  <c r="M146" i="2"/>
  <c r="L146" i="2"/>
  <c r="K146" i="2"/>
  <c r="J146" i="2"/>
  <c r="I146" i="2"/>
  <c r="H146" i="2"/>
  <c r="G146" i="2"/>
  <c r="F146" i="2"/>
  <c r="E146" i="2"/>
  <c r="R145" i="2"/>
  <c r="Q145" i="2"/>
  <c r="P145" i="2"/>
  <c r="O145" i="2"/>
  <c r="N145" i="2"/>
  <c r="M145" i="2"/>
  <c r="L145" i="2"/>
  <c r="K145" i="2"/>
  <c r="J145" i="2"/>
  <c r="I145" i="2"/>
  <c r="H145" i="2"/>
  <c r="G145" i="2"/>
  <c r="F145" i="2"/>
  <c r="E145" i="2"/>
  <c r="R144" i="2"/>
  <c r="Q144" i="2"/>
  <c r="P144" i="2"/>
  <c r="O144" i="2"/>
  <c r="N144" i="2"/>
  <c r="M144" i="2"/>
  <c r="L144" i="2"/>
  <c r="K144" i="2"/>
  <c r="J144" i="2"/>
  <c r="I144" i="2"/>
  <c r="H144" i="2"/>
  <c r="G144" i="2"/>
  <c r="F144" i="2"/>
  <c r="E144" i="2"/>
  <c r="R143" i="2"/>
  <c r="Q143" i="2"/>
  <c r="P143" i="2"/>
  <c r="O143" i="2"/>
  <c r="N143" i="2"/>
  <c r="M143" i="2"/>
  <c r="L143" i="2"/>
  <c r="K143" i="2"/>
  <c r="J143" i="2"/>
  <c r="I143" i="2"/>
  <c r="H143" i="2"/>
  <c r="G143" i="2"/>
  <c r="F143" i="2"/>
  <c r="E143" i="2"/>
  <c r="R142" i="2"/>
  <c r="Q142" i="2"/>
  <c r="P142" i="2"/>
  <c r="O142" i="2"/>
  <c r="N142" i="2"/>
  <c r="M142" i="2"/>
  <c r="L142" i="2"/>
  <c r="K142" i="2"/>
  <c r="J142" i="2"/>
  <c r="I142" i="2"/>
  <c r="H142" i="2"/>
  <c r="G142" i="2"/>
  <c r="F142" i="2"/>
  <c r="E142" i="2"/>
  <c r="R141" i="2"/>
  <c r="Q141" i="2"/>
  <c r="P141" i="2"/>
  <c r="O141" i="2"/>
  <c r="N141" i="2"/>
  <c r="M141" i="2"/>
  <c r="L141" i="2"/>
  <c r="K141" i="2"/>
  <c r="J141" i="2"/>
  <c r="I141" i="2"/>
  <c r="H141" i="2"/>
  <c r="G141" i="2"/>
  <c r="F141" i="2"/>
  <c r="E141" i="2"/>
  <c r="R140" i="2"/>
  <c r="Q140" i="2"/>
  <c r="P140" i="2"/>
  <c r="O140" i="2"/>
  <c r="N140" i="2"/>
  <c r="M140" i="2"/>
  <c r="L140" i="2"/>
  <c r="K140" i="2"/>
  <c r="J140" i="2"/>
  <c r="I140" i="2"/>
  <c r="H140" i="2"/>
  <c r="G140" i="2"/>
  <c r="F140" i="2"/>
  <c r="E140" i="2"/>
  <c r="R139" i="2"/>
  <c r="Q139" i="2"/>
  <c r="P139" i="2"/>
  <c r="O139" i="2"/>
  <c r="N139" i="2"/>
  <c r="M139" i="2"/>
  <c r="L139" i="2"/>
  <c r="K139" i="2"/>
  <c r="J139" i="2"/>
  <c r="I139" i="2"/>
  <c r="H139" i="2"/>
  <c r="G139" i="2"/>
  <c r="F139" i="2"/>
  <c r="E139" i="2"/>
  <c r="R138" i="2"/>
  <c r="Q138" i="2"/>
  <c r="P138" i="2"/>
  <c r="O138" i="2"/>
  <c r="N138" i="2"/>
  <c r="M138" i="2"/>
  <c r="L138" i="2"/>
  <c r="K138" i="2"/>
  <c r="J138" i="2"/>
  <c r="I138" i="2"/>
  <c r="H138" i="2"/>
  <c r="G138" i="2"/>
  <c r="F138" i="2"/>
  <c r="E138" i="2"/>
  <c r="R137" i="2"/>
  <c r="Q137" i="2"/>
  <c r="P137" i="2"/>
  <c r="O137" i="2"/>
  <c r="N137" i="2"/>
  <c r="M137" i="2"/>
  <c r="L137" i="2"/>
  <c r="K137" i="2"/>
  <c r="J137" i="2"/>
  <c r="I137" i="2"/>
  <c r="H137" i="2"/>
  <c r="G137" i="2"/>
  <c r="F137" i="2"/>
  <c r="E137" i="2"/>
  <c r="R136" i="2"/>
  <c r="Q136" i="2"/>
  <c r="P136" i="2"/>
  <c r="O136" i="2"/>
  <c r="N136" i="2"/>
  <c r="M136" i="2"/>
  <c r="L136" i="2"/>
  <c r="K136" i="2"/>
  <c r="J136" i="2"/>
  <c r="I136" i="2"/>
  <c r="H136" i="2"/>
  <c r="G136" i="2"/>
  <c r="F136" i="2"/>
  <c r="E136" i="2"/>
  <c r="R135" i="2"/>
  <c r="Q135" i="2"/>
  <c r="P135" i="2"/>
  <c r="O135" i="2"/>
  <c r="N135" i="2"/>
  <c r="M135" i="2"/>
  <c r="L135" i="2"/>
  <c r="K135" i="2"/>
  <c r="J135" i="2"/>
  <c r="I135" i="2"/>
  <c r="H135" i="2"/>
  <c r="G135" i="2"/>
  <c r="F135" i="2"/>
  <c r="E135" i="2"/>
  <c r="R134" i="2"/>
  <c r="Q134" i="2"/>
  <c r="P134" i="2"/>
  <c r="O134" i="2"/>
  <c r="N134" i="2"/>
  <c r="M134" i="2"/>
  <c r="L134" i="2"/>
  <c r="K134" i="2"/>
  <c r="J134" i="2"/>
  <c r="I134" i="2"/>
  <c r="H134" i="2"/>
  <c r="G134" i="2"/>
  <c r="F134" i="2"/>
  <c r="E134" i="2"/>
  <c r="R133" i="2"/>
  <c r="Q133" i="2"/>
  <c r="P133" i="2"/>
  <c r="O133" i="2"/>
  <c r="N133" i="2"/>
  <c r="M133" i="2"/>
  <c r="L133" i="2"/>
  <c r="K133" i="2"/>
  <c r="J133" i="2"/>
  <c r="I133" i="2"/>
  <c r="H133" i="2"/>
  <c r="G133" i="2"/>
  <c r="F133" i="2"/>
  <c r="E133" i="2"/>
  <c r="R132" i="2"/>
  <c r="Q132" i="2"/>
  <c r="P132" i="2"/>
  <c r="O132" i="2"/>
  <c r="N132" i="2"/>
  <c r="M132" i="2"/>
  <c r="L132" i="2"/>
  <c r="K132" i="2"/>
  <c r="J132" i="2"/>
  <c r="I132" i="2"/>
  <c r="H132" i="2"/>
  <c r="G132" i="2"/>
  <c r="F132" i="2"/>
  <c r="E132" i="2"/>
  <c r="R131" i="2"/>
  <c r="Q131" i="2"/>
  <c r="P131" i="2"/>
  <c r="O131" i="2"/>
  <c r="N131" i="2"/>
  <c r="M131" i="2"/>
  <c r="L131" i="2"/>
  <c r="K131" i="2"/>
  <c r="J131" i="2"/>
  <c r="I131" i="2"/>
  <c r="H131" i="2"/>
  <c r="G131" i="2"/>
  <c r="F131" i="2"/>
  <c r="E131" i="2"/>
  <c r="R130" i="2"/>
  <c r="Q130" i="2"/>
  <c r="P130" i="2"/>
  <c r="O130" i="2"/>
  <c r="N130" i="2"/>
  <c r="M130" i="2"/>
  <c r="L130" i="2"/>
  <c r="K130" i="2"/>
  <c r="J130" i="2"/>
  <c r="I130" i="2"/>
  <c r="H130" i="2"/>
  <c r="G130" i="2"/>
  <c r="F130" i="2"/>
  <c r="E130" i="2"/>
  <c r="R129" i="2"/>
  <c r="Q129" i="2"/>
  <c r="P129" i="2"/>
  <c r="O129" i="2"/>
  <c r="N129" i="2"/>
  <c r="M129" i="2"/>
  <c r="L129" i="2"/>
  <c r="K129" i="2"/>
  <c r="J129" i="2"/>
  <c r="I129" i="2"/>
  <c r="H129" i="2"/>
  <c r="G129" i="2"/>
  <c r="F129" i="2"/>
  <c r="E129" i="2"/>
  <c r="R128" i="2"/>
  <c r="Q128" i="2"/>
  <c r="P128" i="2"/>
  <c r="O128" i="2"/>
  <c r="N128" i="2"/>
  <c r="M128" i="2"/>
  <c r="L128" i="2"/>
  <c r="K128" i="2"/>
  <c r="J128" i="2"/>
  <c r="I128" i="2"/>
  <c r="H128" i="2"/>
  <c r="G128" i="2"/>
  <c r="F128" i="2"/>
  <c r="E128" i="2"/>
  <c r="R127" i="2"/>
  <c r="Q127" i="2"/>
  <c r="P127" i="2"/>
  <c r="O127" i="2"/>
  <c r="N127" i="2"/>
  <c r="M127" i="2"/>
  <c r="L127" i="2"/>
  <c r="K127" i="2"/>
  <c r="J127" i="2"/>
  <c r="I127" i="2"/>
  <c r="H127" i="2"/>
  <c r="G127" i="2"/>
  <c r="F127" i="2"/>
  <c r="E127" i="2"/>
  <c r="R126" i="2"/>
  <c r="Q126" i="2"/>
  <c r="P126" i="2"/>
  <c r="O126" i="2"/>
  <c r="N126" i="2"/>
  <c r="M126" i="2"/>
  <c r="L126" i="2"/>
  <c r="K126" i="2"/>
  <c r="J126" i="2"/>
  <c r="I126" i="2"/>
  <c r="H126" i="2"/>
  <c r="G126" i="2"/>
  <c r="F126" i="2"/>
  <c r="E126" i="2"/>
  <c r="R125" i="2"/>
  <c r="Q125" i="2"/>
  <c r="P125" i="2"/>
  <c r="O125" i="2"/>
  <c r="N125" i="2"/>
  <c r="M125" i="2"/>
  <c r="L125" i="2"/>
  <c r="K125" i="2"/>
  <c r="J125" i="2"/>
  <c r="I125" i="2"/>
  <c r="H125" i="2"/>
  <c r="G125" i="2"/>
  <c r="F125" i="2"/>
  <c r="E125" i="2"/>
  <c r="R124" i="2"/>
  <c r="Q124" i="2"/>
  <c r="P124" i="2"/>
  <c r="O124" i="2"/>
  <c r="N124" i="2"/>
  <c r="M124" i="2"/>
  <c r="L124" i="2"/>
  <c r="K124" i="2"/>
  <c r="J124" i="2"/>
  <c r="I124" i="2"/>
  <c r="H124" i="2"/>
  <c r="G124" i="2"/>
  <c r="F124" i="2"/>
  <c r="E124" i="2"/>
  <c r="R123" i="2"/>
  <c r="Q123" i="2"/>
  <c r="P123" i="2"/>
  <c r="O123" i="2"/>
  <c r="N123" i="2"/>
  <c r="M123" i="2"/>
  <c r="L123" i="2"/>
  <c r="K123" i="2"/>
  <c r="J123" i="2"/>
  <c r="I123" i="2"/>
  <c r="H123" i="2"/>
  <c r="G123" i="2"/>
  <c r="F123" i="2"/>
  <c r="E123" i="2"/>
  <c r="R122" i="2"/>
  <c r="Q122" i="2"/>
  <c r="P122" i="2"/>
  <c r="O122" i="2"/>
  <c r="N122" i="2"/>
  <c r="M122" i="2"/>
  <c r="L122" i="2"/>
  <c r="K122" i="2"/>
  <c r="J122" i="2"/>
  <c r="I122" i="2"/>
  <c r="H122" i="2"/>
  <c r="G122" i="2"/>
  <c r="F122" i="2"/>
  <c r="E122" i="2"/>
  <c r="R121" i="2"/>
  <c r="Q121" i="2"/>
  <c r="P121" i="2"/>
  <c r="O121" i="2"/>
  <c r="N121" i="2"/>
  <c r="M121" i="2"/>
  <c r="L121" i="2"/>
  <c r="K121" i="2"/>
  <c r="J121" i="2"/>
  <c r="I121" i="2"/>
  <c r="H121" i="2"/>
  <c r="G121" i="2"/>
  <c r="F121" i="2"/>
  <c r="E121" i="2"/>
  <c r="R120" i="2"/>
  <c r="Q120" i="2"/>
  <c r="P120" i="2"/>
  <c r="O120" i="2"/>
  <c r="N120" i="2"/>
  <c r="M120" i="2"/>
  <c r="L120" i="2"/>
  <c r="K120" i="2"/>
  <c r="J120" i="2"/>
  <c r="I120" i="2"/>
  <c r="H120" i="2"/>
  <c r="G120" i="2"/>
  <c r="F120" i="2"/>
  <c r="E120" i="2"/>
  <c r="R119" i="2"/>
  <c r="Q119" i="2"/>
  <c r="P119" i="2"/>
  <c r="O119" i="2"/>
  <c r="N119" i="2"/>
  <c r="M119" i="2"/>
  <c r="L119" i="2"/>
  <c r="K119" i="2"/>
  <c r="J119" i="2"/>
  <c r="I119" i="2"/>
  <c r="H119" i="2"/>
  <c r="G119" i="2"/>
  <c r="F119" i="2"/>
  <c r="E119" i="2"/>
  <c r="R118" i="2"/>
  <c r="Q118" i="2"/>
  <c r="P118" i="2"/>
  <c r="O118" i="2"/>
  <c r="N118" i="2"/>
  <c r="M118" i="2"/>
  <c r="L118" i="2"/>
  <c r="K118" i="2"/>
  <c r="J118" i="2"/>
  <c r="I118" i="2"/>
  <c r="H118" i="2"/>
  <c r="G118" i="2"/>
  <c r="F118" i="2"/>
  <c r="E118" i="2"/>
  <c r="R117" i="2"/>
  <c r="Q117" i="2"/>
  <c r="P117" i="2"/>
  <c r="O117" i="2"/>
  <c r="N117" i="2"/>
  <c r="M117" i="2"/>
  <c r="L117" i="2"/>
  <c r="K117" i="2"/>
  <c r="J117" i="2"/>
  <c r="I117" i="2"/>
  <c r="H117" i="2"/>
  <c r="G117" i="2"/>
  <c r="F117" i="2"/>
  <c r="E117" i="2"/>
  <c r="R116" i="2"/>
  <c r="Q116" i="2"/>
  <c r="P116" i="2"/>
  <c r="O116" i="2"/>
  <c r="N116" i="2"/>
  <c r="M116" i="2"/>
  <c r="L116" i="2"/>
  <c r="K116" i="2"/>
  <c r="J116" i="2"/>
  <c r="I116" i="2"/>
  <c r="H116" i="2"/>
  <c r="G116" i="2"/>
  <c r="F116" i="2"/>
  <c r="E116" i="2"/>
  <c r="R115" i="2"/>
  <c r="Q115" i="2"/>
  <c r="P115" i="2"/>
  <c r="O115" i="2"/>
  <c r="N115" i="2"/>
  <c r="M115" i="2"/>
  <c r="L115" i="2"/>
  <c r="K115" i="2"/>
  <c r="J115" i="2"/>
  <c r="I115" i="2"/>
  <c r="H115" i="2"/>
  <c r="G115" i="2"/>
  <c r="F115" i="2"/>
  <c r="E115" i="2"/>
  <c r="R114" i="2"/>
  <c r="Q114" i="2"/>
  <c r="P114" i="2"/>
  <c r="O114" i="2"/>
  <c r="N114" i="2"/>
  <c r="M114" i="2"/>
  <c r="L114" i="2"/>
  <c r="K114" i="2"/>
  <c r="J114" i="2"/>
  <c r="I114" i="2"/>
  <c r="H114" i="2"/>
  <c r="G114" i="2"/>
  <c r="F114" i="2"/>
  <c r="E114" i="2"/>
  <c r="R113" i="2"/>
  <c r="Q113" i="2"/>
  <c r="P113" i="2"/>
  <c r="O113" i="2"/>
  <c r="N113" i="2"/>
  <c r="M113" i="2"/>
  <c r="L113" i="2"/>
  <c r="K113" i="2"/>
  <c r="J113" i="2"/>
  <c r="I113" i="2"/>
  <c r="H113" i="2"/>
  <c r="G113" i="2"/>
  <c r="F113" i="2"/>
  <c r="E113" i="2"/>
  <c r="R112" i="2"/>
  <c r="Q112" i="2"/>
  <c r="P112" i="2"/>
  <c r="O112" i="2"/>
  <c r="N112" i="2"/>
  <c r="M112" i="2"/>
  <c r="L112" i="2"/>
  <c r="K112" i="2"/>
  <c r="J112" i="2"/>
  <c r="I112" i="2"/>
  <c r="H112" i="2"/>
  <c r="G112" i="2"/>
  <c r="F112" i="2"/>
  <c r="E112" i="2"/>
  <c r="R111" i="2"/>
  <c r="Q111" i="2"/>
  <c r="P111" i="2"/>
  <c r="O111" i="2"/>
  <c r="N111" i="2"/>
  <c r="M111" i="2"/>
  <c r="L111" i="2"/>
  <c r="K111" i="2"/>
  <c r="J111" i="2"/>
  <c r="I111" i="2"/>
  <c r="H111" i="2"/>
  <c r="G111" i="2"/>
  <c r="F111" i="2"/>
  <c r="E111" i="2"/>
  <c r="R110" i="2"/>
  <c r="Q110" i="2"/>
  <c r="P110" i="2"/>
  <c r="O110" i="2"/>
  <c r="N110" i="2"/>
  <c r="M110" i="2"/>
  <c r="L110" i="2"/>
  <c r="K110" i="2"/>
  <c r="J110" i="2"/>
  <c r="I110" i="2"/>
  <c r="H110" i="2"/>
  <c r="G110" i="2"/>
  <c r="F110" i="2"/>
  <c r="E110" i="2"/>
  <c r="R109" i="2"/>
  <c r="Q109" i="2"/>
  <c r="P109" i="2"/>
  <c r="O109" i="2"/>
  <c r="N109" i="2"/>
  <c r="M109" i="2"/>
  <c r="L109" i="2"/>
  <c r="K109" i="2"/>
  <c r="J109" i="2"/>
  <c r="I109" i="2"/>
  <c r="H109" i="2"/>
  <c r="G109" i="2"/>
  <c r="F109" i="2"/>
  <c r="E109" i="2"/>
  <c r="R108" i="2"/>
  <c r="Q108" i="2"/>
  <c r="P108" i="2"/>
  <c r="O108" i="2"/>
  <c r="N108" i="2"/>
  <c r="M108" i="2"/>
  <c r="L108" i="2"/>
  <c r="K108" i="2"/>
  <c r="J108" i="2"/>
  <c r="I108" i="2"/>
  <c r="H108" i="2"/>
  <c r="G108" i="2"/>
  <c r="F108" i="2"/>
  <c r="E108" i="2"/>
  <c r="R107" i="2"/>
  <c r="Q107" i="2"/>
  <c r="P107" i="2"/>
  <c r="O107" i="2"/>
  <c r="N107" i="2"/>
  <c r="M107" i="2"/>
  <c r="L107" i="2"/>
  <c r="K107" i="2"/>
  <c r="J107" i="2"/>
  <c r="I107" i="2"/>
  <c r="H107" i="2"/>
  <c r="G107" i="2"/>
  <c r="F107" i="2"/>
  <c r="E107" i="2"/>
  <c r="R106" i="2"/>
  <c r="Q106" i="2"/>
  <c r="P106" i="2"/>
  <c r="O106" i="2"/>
  <c r="N106" i="2"/>
  <c r="M106" i="2"/>
  <c r="L106" i="2"/>
  <c r="K106" i="2"/>
  <c r="J106" i="2"/>
  <c r="I106" i="2"/>
  <c r="H106" i="2"/>
  <c r="G106" i="2"/>
  <c r="F106" i="2"/>
  <c r="E106" i="2"/>
  <c r="R105" i="2"/>
  <c r="Q105" i="2"/>
  <c r="P105" i="2"/>
  <c r="O105" i="2"/>
  <c r="N105" i="2"/>
  <c r="M105" i="2"/>
  <c r="L105" i="2"/>
  <c r="K105" i="2"/>
  <c r="J105" i="2"/>
  <c r="I105" i="2"/>
  <c r="H105" i="2"/>
  <c r="G105" i="2"/>
  <c r="F105" i="2"/>
  <c r="E105" i="2"/>
  <c r="R104" i="2"/>
  <c r="Q104" i="2"/>
  <c r="P104" i="2"/>
  <c r="O104" i="2"/>
  <c r="N104" i="2"/>
  <c r="M104" i="2"/>
  <c r="L104" i="2"/>
  <c r="K104" i="2"/>
  <c r="J104" i="2"/>
  <c r="I104" i="2"/>
  <c r="H104" i="2"/>
  <c r="G104" i="2"/>
  <c r="F104" i="2"/>
  <c r="E104" i="2"/>
  <c r="R103" i="2"/>
  <c r="Q103" i="2"/>
  <c r="P103" i="2"/>
  <c r="O103" i="2"/>
  <c r="N103" i="2"/>
  <c r="M103" i="2"/>
  <c r="L103" i="2"/>
  <c r="K103" i="2"/>
  <c r="J103" i="2"/>
  <c r="I103" i="2"/>
  <c r="H103" i="2"/>
  <c r="G103" i="2"/>
  <c r="F103" i="2"/>
  <c r="E103" i="2"/>
  <c r="R102" i="2"/>
  <c r="Q102" i="2"/>
  <c r="P102" i="2"/>
  <c r="O102" i="2"/>
  <c r="N102" i="2"/>
  <c r="M102" i="2"/>
  <c r="L102" i="2"/>
  <c r="K102" i="2"/>
  <c r="J102" i="2"/>
  <c r="I102" i="2"/>
  <c r="H102" i="2"/>
  <c r="G102" i="2"/>
  <c r="F102" i="2"/>
  <c r="E102" i="2"/>
  <c r="R101" i="2"/>
  <c r="Q101" i="2"/>
  <c r="P101" i="2"/>
  <c r="O101" i="2"/>
  <c r="N101" i="2"/>
  <c r="M101" i="2"/>
  <c r="L101" i="2"/>
  <c r="K101" i="2"/>
  <c r="J101" i="2"/>
  <c r="I101" i="2"/>
  <c r="H101" i="2"/>
  <c r="G101" i="2"/>
  <c r="F101" i="2"/>
  <c r="E101" i="2"/>
  <c r="R100" i="2"/>
  <c r="Q100" i="2"/>
  <c r="P100" i="2"/>
  <c r="O100" i="2"/>
  <c r="N100" i="2"/>
  <c r="M100" i="2"/>
  <c r="L100" i="2"/>
  <c r="K100" i="2"/>
  <c r="J100" i="2"/>
  <c r="I100" i="2"/>
  <c r="H100" i="2"/>
  <c r="G100" i="2"/>
  <c r="F100" i="2"/>
  <c r="E100" i="2"/>
  <c r="R99" i="2"/>
  <c r="Q99" i="2"/>
  <c r="P99" i="2"/>
  <c r="O99" i="2"/>
  <c r="N99" i="2"/>
  <c r="M99" i="2"/>
  <c r="L99" i="2"/>
  <c r="K99" i="2"/>
  <c r="J99" i="2"/>
  <c r="I99" i="2"/>
  <c r="H99" i="2"/>
  <c r="G99" i="2"/>
  <c r="F99" i="2"/>
  <c r="E99" i="2"/>
  <c r="R98" i="2"/>
  <c r="Q98" i="2"/>
  <c r="P98" i="2"/>
  <c r="O98" i="2"/>
  <c r="N98" i="2"/>
  <c r="M98" i="2"/>
  <c r="L98" i="2"/>
  <c r="K98" i="2"/>
  <c r="J98" i="2"/>
  <c r="I98" i="2"/>
  <c r="H98" i="2"/>
  <c r="G98" i="2"/>
  <c r="F98" i="2"/>
  <c r="E98" i="2"/>
  <c r="R97" i="2"/>
  <c r="Q97" i="2"/>
  <c r="P97" i="2"/>
  <c r="O97" i="2"/>
  <c r="N97" i="2"/>
  <c r="M97" i="2"/>
  <c r="L97" i="2"/>
  <c r="K97" i="2"/>
  <c r="J97" i="2"/>
  <c r="I97" i="2"/>
  <c r="H97" i="2"/>
  <c r="G97" i="2"/>
  <c r="F97" i="2"/>
  <c r="E97" i="2"/>
  <c r="R96" i="2"/>
  <c r="Q96" i="2"/>
  <c r="P96" i="2"/>
  <c r="O96" i="2"/>
  <c r="N96" i="2"/>
  <c r="M96" i="2"/>
  <c r="L96" i="2"/>
  <c r="K96" i="2"/>
  <c r="J96" i="2"/>
  <c r="I96" i="2"/>
  <c r="H96" i="2"/>
  <c r="G96" i="2"/>
  <c r="F96" i="2"/>
  <c r="E96" i="2"/>
  <c r="R95" i="2"/>
  <c r="Q95" i="2"/>
  <c r="P95" i="2"/>
  <c r="O95" i="2"/>
  <c r="N95" i="2"/>
  <c r="M95" i="2"/>
  <c r="L95" i="2"/>
  <c r="K95" i="2"/>
  <c r="J95" i="2"/>
  <c r="I95" i="2"/>
  <c r="H95" i="2"/>
  <c r="G95" i="2"/>
  <c r="F95" i="2"/>
  <c r="E95" i="2"/>
  <c r="R94" i="2"/>
  <c r="Q94" i="2"/>
  <c r="P94" i="2"/>
  <c r="O94" i="2"/>
  <c r="N94" i="2"/>
  <c r="M94" i="2"/>
  <c r="L94" i="2"/>
  <c r="K94" i="2"/>
  <c r="J94" i="2"/>
  <c r="I94" i="2"/>
  <c r="H94" i="2"/>
  <c r="G94" i="2"/>
  <c r="F94" i="2"/>
  <c r="E94" i="2"/>
  <c r="R93" i="2"/>
  <c r="Q93" i="2"/>
  <c r="P93" i="2"/>
  <c r="O93" i="2"/>
  <c r="N93" i="2"/>
  <c r="M93" i="2"/>
  <c r="L93" i="2"/>
  <c r="K93" i="2"/>
  <c r="J93" i="2"/>
  <c r="I93" i="2"/>
  <c r="H93" i="2"/>
  <c r="G93" i="2"/>
  <c r="F93" i="2"/>
  <c r="E93" i="2"/>
  <c r="R92" i="2"/>
  <c r="Q92" i="2"/>
  <c r="P92" i="2"/>
  <c r="O92" i="2"/>
  <c r="N92" i="2"/>
  <c r="M92" i="2"/>
  <c r="L92" i="2"/>
  <c r="K92" i="2"/>
  <c r="J92" i="2"/>
  <c r="I92" i="2"/>
  <c r="H92" i="2"/>
  <c r="G92" i="2"/>
  <c r="F92" i="2"/>
  <c r="E92" i="2"/>
  <c r="R91" i="2"/>
  <c r="Q91" i="2"/>
  <c r="P91" i="2"/>
  <c r="O91" i="2"/>
  <c r="N91" i="2"/>
  <c r="M91" i="2"/>
  <c r="L91" i="2"/>
  <c r="K91" i="2"/>
  <c r="J91" i="2"/>
  <c r="I91" i="2"/>
  <c r="H91" i="2"/>
  <c r="G91" i="2"/>
  <c r="F91" i="2"/>
  <c r="E91" i="2"/>
  <c r="R90" i="2"/>
  <c r="Q90" i="2"/>
  <c r="P90" i="2"/>
  <c r="O90" i="2"/>
  <c r="N90" i="2"/>
  <c r="M90" i="2"/>
  <c r="L90" i="2"/>
  <c r="K90" i="2"/>
  <c r="J90" i="2"/>
  <c r="I90" i="2"/>
  <c r="H90" i="2"/>
  <c r="G90" i="2"/>
  <c r="F90" i="2"/>
  <c r="E90" i="2"/>
  <c r="R89" i="2"/>
  <c r="Q89" i="2"/>
  <c r="P89" i="2"/>
  <c r="O89" i="2"/>
  <c r="N89" i="2"/>
  <c r="M89" i="2"/>
  <c r="L89" i="2"/>
  <c r="K89" i="2"/>
  <c r="J89" i="2"/>
  <c r="I89" i="2"/>
  <c r="H89" i="2"/>
  <c r="G89" i="2"/>
  <c r="F89" i="2"/>
  <c r="E89" i="2"/>
  <c r="R88" i="2"/>
  <c r="Q88" i="2"/>
  <c r="P88" i="2"/>
  <c r="O88" i="2"/>
  <c r="N88" i="2"/>
  <c r="M88" i="2"/>
  <c r="L88" i="2"/>
  <c r="K88" i="2"/>
  <c r="J88" i="2"/>
  <c r="I88" i="2"/>
  <c r="H88" i="2"/>
  <c r="G88" i="2"/>
  <c r="F88" i="2"/>
  <c r="E88" i="2"/>
  <c r="R87" i="2"/>
  <c r="Q87" i="2"/>
  <c r="P87" i="2"/>
  <c r="O87" i="2"/>
  <c r="N87" i="2"/>
  <c r="M87" i="2"/>
  <c r="L87" i="2"/>
  <c r="K87" i="2"/>
  <c r="J87" i="2"/>
  <c r="I87" i="2"/>
  <c r="H87" i="2"/>
  <c r="G87" i="2"/>
  <c r="F87" i="2"/>
  <c r="E87" i="2"/>
  <c r="R86" i="2"/>
  <c r="Q86" i="2"/>
  <c r="P86" i="2"/>
  <c r="O86" i="2"/>
  <c r="N86" i="2"/>
  <c r="M86" i="2"/>
  <c r="L86" i="2"/>
  <c r="K86" i="2"/>
  <c r="J86" i="2"/>
  <c r="I86" i="2"/>
  <c r="H86" i="2"/>
  <c r="G86" i="2"/>
  <c r="F86" i="2"/>
  <c r="E86" i="2"/>
  <c r="R85" i="2"/>
  <c r="Q85" i="2"/>
  <c r="P85" i="2"/>
  <c r="O85" i="2"/>
  <c r="N85" i="2"/>
  <c r="M85" i="2"/>
  <c r="L85" i="2"/>
  <c r="K85" i="2"/>
  <c r="J85" i="2"/>
  <c r="I85" i="2"/>
  <c r="H85" i="2"/>
  <c r="G85" i="2"/>
  <c r="F85" i="2"/>
  <c r="E85" i="2"/>
  <c r="R84" i="2"/>
  <c r="Q84" i="2"/>
  <c r="P84" i="2"/>
  <c r="O84" i="2"/>
  <c r="N84" i="2"/>
  <c r="M84" i="2"/>
  <c r="L84" i="2"/>
  <c r="K84" i="2"/>
  <c r="J84" i="2"/>
  <c r="I84" i="2"/>
  <c r="H84" i="2"/>
  <c r="G84" i="2"/>
  <c r="F84" i="2"/>
  <c r="E84" i="2"/>
  <c r="R83" i="2"/>
  <c r="Q83" i="2"/>
  <c r="P83" i="2"/>
  <c r="O83" i="2"/>
  <c r="N83" i="2"/>
  <c r="M83" i="2"/>
  <c r="L83" i="2"/>
  <c r="K83" i="2"/>
  <c r="J83" i="2"/>
  <c r="I83" i="2"/>
  <c r="H83" i="2"/>
  <c r="G83" i="2"/>
  <c r="F83" i="2"/>
  <c r="E83" i="2"/>
  <c r="R82" i="2"/>
  <c r="Q82" i="2"/>
  <c r="P82" i="2"/>
  <c r="O82" i="2"/>
  <c r="N82" i="2"/>
  <c r="M82" i="2"/>
  <c r="L82" i="2"/>
  <c r="K82" i="2"/>
  <c r="J82" i="2"/>
  <c r="I82" i="2"/>
  <c r="H82" i="2"/>
  <c r="G82" i="2"/>
  <c r="F82" i="2"/>
  <c r="E82" i="2"/>
  <c r="R81" i="2"/>
  <c r="Q81" i="2"/>
  <c r="P81" i="2"/>
  <c r="O81" i="2"/>
  <c r="N81" i="2"/>
  <c r="M81" i="2"/>
  <c r="L81" i="2"/>
  <c r="K81" i="2"/>
  <c r="J81" i="2"/>
  <c r="I81" i="2"/>
  <c r="H81" i="2"/>
  <c r="G81" i="2"/>
  <c r="F81" i="2"/>
  <c r="E81" i="2"/>
  <c r="R80" i="2"/>
  <c r="Q80" i="2"/>
  <c r="P80" i="2"/>
  <c r="O80" i="2"/>
  <c r="N80" i="2"/>
  <c r="M80" i="2"/>
  <c r="L80" i="2"/>
  <c r="K80" i="2"/>
  <c r="J80" i="2"/>
  <c r="I80" i="2"/>
  <c r="H80" i="2"/>
  <c r="G80" i="2"/>
  <c r="F80" i="2"/>
  <c r="E80" i="2"/>
  <c r="R79" i="2"/>
  <c r="Q79" i="2"/>
  <c r="P79" i="2"/>
  <c r="O79" i="2"/>
  <c r="N79" i="2"/>
  <c r="M79" i="2"/>
  <c r="L79" i="2"/>
  <c r="K79" i="2"/>
  <c r="J79" i="2"/>
  <c r="I79" i="2"/>
  <c r="H79" i="2"/>
  <c r="G79" i="2"/>
  <c r="F79" i="2"/>
  <c r="E79" i="2"/>
  <c r="R78" i="2"/>
  <c r="Q78" i="2"/>
  <c r="P78" i="2"/>
  <c r="O78" i="2"/>
  <c r="N78" i="2"/>
  <c r="M78" i="2"/>
  <c r="L78" i="2"/>
  <c r="K78" i="2"/>
  <c r="J78" i="2"/>
  <c r="I78" i="2"/>
  <c r="H78" i="2"/>
  <c r="G78" i="2"/>
  <c r="F78" i="2"/>
  <c r="E78" i="2"/>
  <c r="R77" i="2"/>
  <c r="Q77" i="2"/>
  <c r="P77" i="2"/>
  <c r="O77" i="2"/>
  <c r="N77" i="2"/>
  <c r="M77" i="2"/>
  <c r="L77" i="2"/>
  <c r="K77" i="2"/>
  <c r="J77" i="2"/>
  <c r="I77" i="2"/>
  <c r="H77" i="2"/>
  <c r="G77" i="2"/>
  <c r="F77" i="2"/>
  <c r="E77" i="2"/>
  <c r="R76" i="2"/>
  <c r="Q76" i="2"/>
  <c r="P76" i="2"/>
  <c r="O76" i="2"/>
  <c r="N76" i="2"/>
  <c r="M76" i="2"/>
  <c r="L76" i="2"/>
  <c r="K76" i="2"/>
  <c r="J76" i="2"/>
  <c r="I76" i="2"/>
  <c r="H76" i="2"/>
  <c r="G76" i="2"/>
  <c r="F76" i="2"/>
  <c r="E76" i="2"/>
  <c r="R75" i="2"/>
  <c r="Q75" i="2"/>
  <c r="P75" i="2"/>
  <c r="O75" i="2"/>
  <c r="N75" i="2"/>
  <c r="M75" i="2"/>
  <c r="L75" i="2"/>
  <c r="K75" i="2"/>
  <c r="J75" i="2"/>
  <c r="I75" i="2"/>
  <c r="H75" i="2"/>
  <c r="G75" i="2"/>
  <c r="F75" i="2"/>
  <c r="E75" i="2"/>
  <c r="R74" i="2"/>
  <c r="Q74" i="2"/>
  <c r="P74" i="2"/>
  <c r="O74" i="2"/>
  <c r="N74" i="2"/>
  <c r="M74" i="2"/>
  <c r="L74" i="2"/>
  <c r="K74" i="2"/>
  <c r="J74" i="2"/>
  <c r="I74" i="2"/>
  <c r="H74" i="2"/>
  <c r="G74" i="2"/>
  <c r="F74" i="2"/>
  <c r="E74" i="2"/>
  <c r="R73" i="2"/>
  <c r="Q73" i="2"/>
  <c r="P73" i="2"/>
  <c r="O73" i="2"/>
  <c r="N73" i="2"/>
  <c r="M73" i="2"/>
  <c r="L73" i="2"/>
  <c r="K73" i="2"/>
  <c r="J73" i="2"/>
  <c r="I73" i="2"/>
  <c r="H73" i="2"/>
  <c r="G73" i="2"/>
  <c r="F73" i="2"/>
  <c r="E73" i="2"/>
  <c r="R72" i="2"/>
  <c r="Q72" i="2"/>
  <c r="P72" i="2"/>
  <c r="O72" i="2"/>
  <c r="N72" i="2"/>
  <c r="M72" i="2"/>
  <c r="L72" i="2"/>
  <c r="K72" i="2"/>
  <c r="J72" i="2"/>
  <c r="I72" i="2"/>
  <c r="H72" i="2"/>
  <c r="G72" i="2"/>
  <c r="F72" i="2"/>
  <c r="E72" i="2"/>
  <c r="R71" i="2"/>
  <c r="Q71" i="2"/>
  <c r="P71" i="2"/>
  <c r="O71" i="2"/>
  <c r="N71" i="2"/>
  <c r="M71" i="2"/>
  <c r="L71" i="2"/>
  <c r="K71" i="2"/>
  <c r="J71" i="2"/>
  <c r="I71" i="2"/>
  <c r="H71" i="2"/>
  <c r="G71" i="2"/>
  <c r="F71" i="2"/>
  <c r="E71" i="2"/>
  <c r="R70" i="2"/>
  <c r="Q70" i="2"/>
  <c r="P70" i="2"/>
  <c r="O70" i="2"/>
  <c r="N70" i="2"/>
  <c r="M70" i="2"/>
  <c r="L70" i="2"/>
  <c r="K70" i="2"/>
  <c r="J70" i="2"/>
  <c r="I70" i="2"/>
  <c r="H70" i="2"/>
  <c r="G70" i="2"/>
  <c r="F70" i="2"/>
  <c r="E70" i="2"/>
  <c r="R69" i="2"/>
  <c r="Q69" i="2"/>
  <c r="P69" i="2"/>
  <c r="O69" i="2"/>
  <c r="N69" i="2"/>
  <c r="M69" i="2"/>
  <c r="L69" i="2"/>
  <c r="K69" i="2"/>
  <c r="J69" i="2"/>
  <c r="I69" i="2"/>
  <c r="H69" i="2"/>
  <c r="G69" i="2"/>
  <c r="F69" i="2"/>
  <c r="E69" i="2"/>
  <c r="R68" i="2"/>
  <c r="Q68" i="2"/>
  <c r="P68" i="2"/>
  <c r="O68" i="2"/>
  <c r="N68" i="2"/>
  <c r="M68" i="2"/>
  <c r="L68" i="2"/>
  <c r="K68" i="2"/>
  <c r="J68" i="2"/>
  <c r="I68" i="2"/>
  <c r="H68" i="2"/>
  <c r="G68" i="2"/>
  <c r="F68" i="2"/>
  <c r="E68" i="2"/>
  <c r="R67" i="2"/>
  <c r="Q67" i="2"/>
  <c r="P67" i="2"/>
  <c r="O67" i="2"/>
  <c r="N67" i="2"/>
  <c r="M67" i="2"/>
  <c r="L67" i="2"/>
  <c r="K67" i="2"/>
  <c r="J67" i="2"/>
  <c r="I67" i="2"/>
  <c r="H67" i="2"/>
  <c r="G67" i="2"/>
  <c r="F67" i="2"/>
  <c r="E67" i="2"/>
  <c r="R66" i="2"/>
  <c r="Q66" i="2"/>
  <c r="P66" i="2"/>
  <c r="O66" i="2"/>
  <c r="N66" i="2"/>
  <c r="M66" i="2"/>
  <c r="L66" i="2"/>
  <c r="K66" i="2"/>
  <c r="J66" i="2"/>
  <c r="I66" i="2"/>
  <c r="H66" i="2"/>
  <c r="G66" i="2"/>
  <c r="F66" i="2"/>
  <c r="E66" i="2"/>
  <c r="R65" i="2"/>
  <c r="Q65" i="2"/>
  <c r="P65" i="2"/>
  <c r="O65" i="2"/>
  <c r="N65" i="2"/>
  <c r="M65" i="2"/>
  <c r="L65" i="2"/>
  <c r="K65" i="2"/>
  <c r="J65" i="2"/>
  <c r="I65" i="2"/>
  <c r="H65" i="2"/>
  <c r="G65" i="2"/>
  <c r="F65" i="2"/>
  <c r="E65" i="2"/>
  <c r="R64" i="2"/>
  <c r="Q64" i="2"/>
  <c r="P64" i="2"/>
  <c r="O64" i="2"/>
  <c r="N64" i="2"/>
  <c r="M64" i="2"/>
  <c r="L64" i="2"/>
  <c r="K64" i="2"/>
  <c r="J64" i="2"/>
  <c r="I64" i="2"/>
  <c r="H64" i="2"/>
  <c r="G64" i="2"/>
  <c r="F64" i="2"/>
  <c r="E64" i="2"/>
  <c r="R63" i="2"/>
  <c r="Q63" i="2"/>
  <c r="P63" i="2"/>
  <c r="O63" i="2"/>
  <c r="N63" i="2"/>
  <c r="M63" i="2"/>
  <c r="L63" i="2"/>
  <c r="K63" i="2"/>
  <c r="J63" i="2"/>
  <c r="I63" i="2"/>
  <c r="H63" i="2"/>
  <c r="G63" i="2"/>
  <c r="F63" i="2"/>
  <c r="E63" i="2"/>
  <c r="R62" i="2"/>
  <c r="Q62" i="2"/>
  <c r="P62" i="2"/>
  <c r="O62" i="2"/>
  <c r="N62" i="2"/>
  <c r="M62" i="2"/>
  <c r="L62" i="2"/>
  <c r="K62" i="2"/>
  <c r="J62" i="2"/>
  <c r="I62" i="2"/>
  <c r="H62" i="2"/>
  <c r="G62" i="2"/>
  <c r="F62" i="2"/>
  <c r="E62" i="2"/>
  <c r="R61" i="2"/>
  <c r="Q61" i="2"/>
  <c r="P61" i="2"/>
  <c r="O61" i="2"/>
  <c r="N61" i="2"/>
  <c r="M61" i="2"/>
  <c r="L61" i="2"/>
  <c r="K61" i="2"/>
  <c r="J61" i="2"/>
  <c r="I61" i="2"/>
  <c r="H61" i="2"/>
  <c r="G61" i="2"/>
  <c r="F61" i="2"/>
  <c r="E61" i="2"/>
  <c r="R60" i="2"/>
  <c r="Q60" i="2"/>
  <c r="P60" i="2"/>
  <c r="O60" i="2"/>
  <c r="N60" i="2"/>
  <c r="M60" i="2"/>
  <c r="L60" i="2"/>
  <c r="K60" i="2"/>
  <c r="J60" i="2"/>
  <c r="I60" i="2"/>
  <c r="H60" i="2"/>
  <c r="G60" i="2"/>
  <c r="F60" i="2"/>
  <c r="E60" i="2"/>
  <c r="R59" i="2"/>
  <c r="Q59" i="2"/>
  <c r="P59" i="2"/>
  <c r="O59" i="2"/>
  <c r="N59" i="2"/>
  <c r="M59" i="2"/>
  <c r="L59" i="2"/>
  <c r="K59" i="2"/>
  <c r="J59" i="2"/>
  <c r="I59" i="2"/>
  <c r="H59" i="2"/>
  <c r="G59" i="2"/>
  <c r="F59" i="2"/>
  <c r="E59" i="2"/>
  <c r="R58" i="2"/>
  <c r="Q58" i="2"/>
  <c r="P58" i="2"/>
  <c r="O58" i="2"/>
  <c r="N58" i="2"/>
  <c r="M58" i="2"/>
  <c r="L58" i="2"/>
  <c r="K58" i="2"/>
  <c r="J58" i="2"/>
  <c r="I58" i="2"/>
  <c r="H58" i="2"/>
  <c r="G58" i="2"/>
  <c r="F58" i="2"/>
  <c r="E58" i="2"/>
  <c r="R57" i="2"/>
  <c r="Q57" i="2"/>
  <c r="P57" i="2"/>
  <c r="O57" i="2"/>
  <c r="N57" i="2"/>
  <c r="M57" i="2"/>
  <c r="L57" i="2"/>
  <c r="K57" i="2"/>
  <c r="J57" i="2"/>
  <c r="I57" i="2"/>
  <c r="H57" i="2"/>
  <c r="G57" i="2"/>
  <c r="F57" i="2"/>
  <c r="E57" i="2"/>
  <c r="R56" i="2"/>
  <c r="Q56" i="2"/>
  <c r="P56" i="2"/>
  <c r="O56" i="2"/>
  <c r="N56" i="2"/>
  <c r="M56" i="2"/>
  <c r="L56" i="2"/>
  <c r="K56" i="2"/>
  <c r="J56" i="2"/>
  <c r="I56" i="2"/>
  <c r="H56" i="2"/>
  <c r="G56" i="2"/>
  <c r="F56" i="2"/>
  <c r="E56" i="2"/>
  <c r="R55" i="2"/>
  <c r="Q55" i="2"/>
  <c r="P55" i="2"/>
  <c r="O55" i="2"/>
  <c r="N55" i="2"/>
  <c r="M55" i="2"/>
  <c r="L55" i="2"/>
  <c r="K55" i="2"/>
  <c r="J55" i="2"/>
  <c r="I55" i="2"/>
  <c r="H55" i="2"/>
  <c r="G55" i="2"/>
  <c r="F55" i="2"/>
  <c r="E55" i="2"/>
  <c r="R54" i="2"/>
  <c r="Q54" i="2"/>
  <c r="P54" i="2"/>
  <c r="O54" i="2"/>
  <c r="N54" i="2"/>
  <c r="M54" i="2"/>
  <c r="L54" i="2"/>
  <c r="K54" i="2"/>
  <c r="J54" i="2"/>
  <c r="I54" i="2"/>
  <c r="H54" i="2"/>
  <c r="G54" i="2"/>
  <c r="F54" i="2"/>
  <c r="E54" i="2"/>
  <c r="R53" i="2"/>
  <c r="Q53" i="2"/>
  <c r="P53" i="2"/>
  <c r="O53" i="2"/>
  <c r="N53" i="2"/>
  <c r="M53" i="2"/>
  <c r="L53" i="2"/>
  <c r="K53" i="2"/>
  <c r="J53" i="2"/>
  <c r="I53" i="2"/>
  <c r="H53" i="2"/>
  <c r="G53" i="2"/>
  <c r="F53" i="2"/>
  <c r="E53" i="2"/>
  <c r="R52" i="2"/>
  <c r="Q52" i="2"/>
  <c r="P52" i="2"/>
  <c r="O52" i="2"/>
  <c r="N52" i="2"/>
  <c r="M52" i="2"/>
  <c r="L52" i="2"/>
  <c r="K52" i="2"/>
  <c r="J52" i="2"/>
  <c r="I52" i="2"/>
  <c r="H52" i="2"/>
  <c r="G52" i="2"/>
  <c r="F52" i="2"/>
  <c r="E52" i="2"/>
  <c r="R51" i="2"/>
  <c r="Q51" i="2"/>
  <c r="P51" i="2"/>
  <c r="O51" i="2"/>
  <c r="N51" i="2"/>
  <c r="M51" i="2"/>
  <c r="L51" i="2"/>
  <c r="K51" i="2"/>
  <c r="J51" i="2"/>
  <c r="I51" i="2"/>
  <c r="H51" i="2"/>
  <c r="G51" i="2"/>
  <c r="F51" i="2"/>
  <c r="E51" i="2"/>
  <c r="R50" i="2"/>
  <c r="Q50" i="2"/>
  <c r="P50" i="2"/>
  <c r="O50" i="2"/>
  <c r="N50" i="2"/>
  <c r="M50" i="2"/>
  <c r="L50" i="2"/>
  <c r="K50" i="2"/>
  <c r="J50" i="2"/>
  <c r="I50" i="2"/>
  <c r="H50" i="2"/>
  <c r="G50" i="2"/>
  <c r="F50" i="2"/>
  <c r="E50" i="2"/>
  <c r="R49" i="2"/>
  <c r="Q49" i="2"/>
  <c r="P49" i="2"/>
  <c r="O49" i="2"/>
  <c r="N49" i="2"/>
  <c r="M49" i="2"/>
  <c r="L49" i="2"/>
  <c r="K49" i="2"/>
  <c r="J49" i="2"/>
  <c r="I49" i="2"/>
  <c r="H49" i="2"/>
  <c r="G49" i="2"/>
  <c r="F49" i="2"/>
  <c r="E49" i="2"/>
  <c r="R48" i="2"/>
  <c r="Q48" i="2"/>
  <c r="P48" i="2"/>
  <c r="O48" i="2"/>
  <c r="N48" i="2"/>
  <c r="M48" i="2"/>
  <c r="L48" i="2"/>
  <c r="K48" i="2"/>
  <c r="J48" i="2"/>
  <c r="I48" i="2"/>
  <c r="H48" i="2"/>
  <c r="G48" i="2"/>
  <c r="F48" i="2"/>
  <c r="E48" i="2"/>
  <c r="R47" i="2"/>
  <c r="Q47" i="2"/>
  <c r="P47" i="2"/>
  <c r="O47" i="2"/>
  <c r="N47" i="2"/>
  <c r="M47" i="2"/>
  <c r="L47" i="2"/>
  <c r="K47" i="2"/>
  <c r="J47" i="2"/>
  <c r="I47" i="2"/>
  <c r="H47" i="2"/>
  <c r="G47" i="2"/>
  <c r="F47" i="2"/>
  <c r="E47" i="2"/>
  <c r="R46" i="2"/>
  <c r="Q46" i="2"/>
  <c r="P46" i="2"/>
  <c r="O46" i="2"/>
  <c r="N46" i="2"/>
  <c r="M46" i="2"/>
  <c r="L46" i="2"/>
  <c r="K46" i="2"/>
  <c r="J46" i="2"/>
  <c r="I46" i="2"/>
  <c r="H46" i="2"/>
  <c r="G46" i="2"/>
  <c r="F46" i="2"/>
  <c r="E46" i="2"/>
  <c r="R45" i="2"/>
  <c r="Q45" i="2"/>
  <c r="P45" i="2"/>
  <c r="O45" i="2"/>
  <c r="N45" i="2"/>
  <c r="M45" i="2"/>
  <c r="L45" i="2"/>
  <c r="K45" i="2"/>
  <c r="J45" i="2"/>
  <c r="I45" i="2"/>
  <c r="H45" i="2"/>
  <c r="G45" i="2"/>
  <c r="F45" i="2"/>
  <c r="E45" i="2"/>
  <c r="R44" i="2"/>
  <c r="Q44" i="2"/>
  <c r="P44" i="2"/>
  <c r="O44" i="2"/>
  <c r="N44" i="2"/>
  <c r="M44" i="2"/>
  <c r="L44" i="2"/>
  <c r="K44" i="2"/>
  <c r="J44" i="2"/>
  <c r="I44" i="2"/>
  <c r="H44" i="2"/>
  <c r="G44" i="2"/>
  <c r="F44" i="2"/>
  <c r="E44" i="2"/>
  <c r="R43" i="2"/>
  <c r="Q43" i="2"/>
  <c r="P43" i="2"/>
  <c r="O43" i="2"/>
  <c r="N43" i="2"/>
  <c r="M43" i="2"/>
  <c r="L43" i="2"/>
  <c r="K43" i="2"/>
  <c r="J43" i="2"/>
  <c r="I43" i="2"/>
  <c r="H43" i="2"/>
  <c r="G43" i="2"/>
  <c r="F43" i="2"/>
  <c r="E43" i="2"/>
  <c r="R42" i="2"/>
  <c r="Q42" i="2"/>
  <c r="P42" i="2"/>
  <c r="O42" i="2"/>
  <c r="N42" i="2"/>
  <c r="M42" i="2"/>
  <c r="L42" i="2"/>
  <c r="K42" i="2"/>
  <c r="J42" i="2"/>
  <c r="I42" i="2"/>
  <c r="H42" i="2"/>
  <c r="G42" i="2"/>
  <c r="F42" i="2"/>
  <c r="E42" i="2"/>
  <c r="R41" i="2"/>
  <c r="Q41" i="2"/>
  <c r="P41" i="2"/>
  <c r="O41" i="2"/>
  <c r="N41" i="2"/>
  <c r="M41" i="2"/>
  <c r="L41" i="2"/>
  <c r="K41" i="2"/>
  <c r="J41" i="2"/>
  <c r="I41" i="2"/>
  <c r="H41" i="2"/>
  <c r="G41" i="2"/>
  <c r="F41" i="2"/>
  <c r="E41" i="2"/>
  <c r="R40" i="2"/>
  <c r="Q40" i="2"/>
  <c r="P40" i="2"/>
  <c r="O40" i="2"/>
  <c r="N40" i="2"/>
  <c r="M40" i="2"/>
  <c r="L40" i="2"/>
  <c r="K40" i="2"/>
  <c r="J40" i="2"/>
  <c r="I40" i="2"/>
  <c r="H40" i="2"/>
  <c r="G40" i="2"/>
  <c r="F40" i="2"/>
  <c r="E40" i="2"/>
  <c r="R39" i="2"/>
  <c r="Q39" i="2"/>
  <c r="P39" i="2"/>
  <c r="O39" i="2"/>
  <c r="N39" i="2"/>
  <c r="M39" i="2"/>
  <c r="L39" i="2"/>
  <c r="K39" i="2"/>
  <c r="J39" i="2"/>
  <c r="I39" i="2"/>
  <c r="H39" i="2"/>
  <c r="G39" i="2"/>
  <c r="F39" i="2"/>
  <c r="E39" i="2"/>
  <c r="R38" i="2"/>
  <c r="Q38" i="2"/>
  <c r="P38" i="2"/>
  <c r="O38" i="2"/>
  <c r="N38" i="2"/>
  <c r="M38" i="2"/>
  <c r="L38" i="2"/>
  <c r="K38" i="2"/>
  <c r="J38" i="2"/>
  <c r="I38" i="2"/>
  <c r="H38" i="2"/>
  <c r="G38" i="2"/>
  <c r="F38" i="2"/>
  <c r="E38" i="2"/>
  <c r="R37" i="2"/>
  <c r="Q37" i="2"/>
  <c r="P37" i="2"/>
  <c r="O37" i="2"/>
  <c r="N37" i="2"/>
  <c r="M37" i="2"/>
  <c r="L37" i="2"/>
  <c r="K37" i="2"/>
  <c r="J37" i="2"/>
  <c r="I37" i="2"/>
  <c r="H37" i="2"/>
  <c r="G37" i="2"/>
  <c r="F37" i="2"/>
  <c r="E37" i="2"/>
  <c r="R36" i="2"/>
  <c r="Q36" i="2"/>
  <c r="P36" i="2"/>
  <c r="O36" i="2"/>
  <c r="N36" i="2"/>
  <c r="M36" i="2"/>
  <c r="L36" i="2"/>
  <c r="K36" i="2"/>
  <c r="J36" i="2"/>
  <c r="I36" i="2"/>
  <c r="H36" i="2"/>
  <c r="G36" i="2"/>
  <c r="F36" i="2"/>
  <c r="E36" i="2"/>
  <c r="R35" i="2"/>
  <c r="Q35" i="2"/>
  <c r="P35" i="2"/>
  <c r="O35" i="2"/>
  <c r="N35" i="2"/>
  <c r="M35" i="2"/>
  <c r="L35" i="2"/>
  <c r="K35" i="2"/>
  <c r="J35" i="2"/>
  <c r="I35" i="2"/>
  <c r="H35" i="2"/>
  <c r="G35" i="2"/>
  <c r="F35" i="2"/>
  <c r="E35" i="2"/>
  <c r="R34" i="2"/>
  <c r="Q34" i="2"/>
  <c r="P34" i="2"/>
  <c r="O34" i="2"/>
  <c r="N34" i="2"/>
  <c r="M34" i="2"/>
  <c r="L34" i="2"/>
  <c r="K34" i="2"/>
  <c r="J34" i="2"/>
  <c r="I34" i="2"/>
  <c r="H34" i="2"/>
  <c r="G34" i="2"/>
  <c r="F34" i="2"/>
  <c r="E34" i="2"/>
  <c r="R33" i="2"/>
  <c r="Q33" i="2"/>
  <c r="P33" i="2"/>
  <c r="O33" i="2"/>
  <c r="N33" i="2"/>
  <c r="M33" i="2"/>
  <c r="L33" i="2"/>
  <c r="K33" i="2"/>
  <c r="J33" i="2"/>
  <c r="I33" i="2"/>
  <c r="H33" i="2"/>
  <c r="G33" i="2"/>
  <c r="F33" i="2"/>
  <c r="E33" i="2"/>
  <c r="R32" i="2"/>
  <c r="Q32" i="2"/>
  <c r="P32" i="2"/>
  <c r="O32" i="2"/>
  <c r="N32" i="2"/>
  <c r="M32" i="2"/>
  <c r="L32" i="2"/>
  <c r="K32" i="2"/>
  <c r="J32" i="2"/>
  <c r="I32" i="2"/>
  <c r="H32" i="2"/>
  <c r="G32" i="2"/>
  <c r="F32" i="2"/>
  <c r="E32" i="2"/>
  <c r="R31" i="2"/>
  <c r="Q31" i="2"/>
  <c r="P31" i="2"/>
  <c r="O31" i="2"/>
  <c r="N31" i="2"/>
  <c r="M31" i="2"/>
  <c r="L31" i="2"/>
  <c r="K31" i="2"/>
  <c r="J31" i="2"/>
  <c r="I31" i="2"/>
  <c r="H31" i="2"/>
  <c r="G31" i="2"/>
  <c r="F31" i="2"/>
  <c r="E31" i="2"/>
  <c r="R30" i="2"/>
  <c r="Q30" i="2"/>
  <c r="P30" i="2"/>
  <c r="O30" i="2"/>
  <c r="N30" i="2"/>
  <c r="M30" i="2"/>
  <c r="L30" i="2"/>
  <c r="K30" i="2"/>
  <c r="J30" i="2"/>
  <c r="I30" i="2"/>
  <c r="H30" i="2"/>
  <c r="G30" i="2"/>
  <c r="F30" i="2"/>
  <c r="E30" i="2"/>
  <c r="R29" i="2"/>
  <c r="Q29" i="2"/>
  <c r="P29" i="2"/>
  <c r="O29" i="2"/>
  <c r="N29" i="2"/>
  <c r="M29" i="2"/>
  <c r="L29" i="2"/>
  <c r="K29" i="2"/>
  <c r="J29" i="2"/>
  <c r="I29" i="2"/>
  <c r="H29" i="2"/>
  <c r="G29" i="2"/>
  <c r="F29" i="2"/>
  <c r="E29" i="2"/>
  <c r="R28" i="2"/>
  <c r="Q28" i="2"/>
  <c r="P28" i="2"/>
  <c r="O28" i="2"/>
  <c r="N28" i="2"/>
  <c r="M28" i="2"/>
  <c r="L28" i="2"/>
  <c r="K28" i="2"/>
  <c r="J28" i="2"/>
  <c r="I28" i="2"/>
  <c r="H28" i="2"/>
  <c r="G28" i="2"/>
  <c r="F28" i="2"/>
  <c r="E28" i="2"/>
  <c r="R27" i="2"/>
  <c r="Q27" i="2"/>
  <c r="P27" i="2"/>
  <c r="O27" i="2"/>
  <c r="N27" i="2"/>
  <c r="M27" i="2"/>
  <c r="L27" i="2"/>
  <c r="K27" i="2"/>
  <c r="J27" i="2"/>
  <c r="I27" i="2"/>
  <c r="H27" i="2"/>
  <c r="G27" i="2"/>
  <c r="F27" i="2"/>
  <c r="E27" i="2"/>
  <c r="R26" i="2"/>
  <c r="Q26" i="2"/>
  <c r="P26" i="2"/>
  <c r="O26" i="2"/>
  <c r="N26" i="2"/>
  <c r="M26" i="2"/>
  <c r="L26" i="2"/>
  <c r="K26" i="2"/>
  <c r="J26" i="2"/>
  <c r="I26" i="2"/>
  <c r="H26" i="2"/>
  <c r="G26" i="2"/>
  <c r="F26" i="2"/>
  <c r="E26" i="2"/>
  <c r="R25" i="2"/>
  <c r="Q25" i="2"/>
  <c r="P25" i="2"/>
  <c r="O25" i="2"/>
  <c r="N25" i="2"/>
  <c r="M25" i="2"/>
  <c r="L25" i="2"/>
  <c r="K25" i="2"/>
  <c r="J25" i="2"/>
  <c r="I25" i="2"/>
  <c r="H25" i="2"/>
  <c r="G25" i="2"/>
  <c r="F25" i="2"/>
  <c r="E25" i="2"/>
  <c r="R24" i="2"/>
  <c r="Q24" i="2"/>
  <c r="P24" i="2"/>
  <c r="O24" i="2"/>
  <c r="N24" i="2"/>
  <c r="M24" i="2"/>
  <c r="L24" i="2"/>
  <c r="K24" i="2"/>
  <c r="J24" i="2"/>
  <c r="I24" i="2"/>
  <c r="H24" i="2"/>
  <c r="G24" i="2"/>
  <c r="F24" i="2"/>
  <c r="E24" i="2"/>
  <c r="R23" i="2"/>
  <c r="Q23" i="2"/>
  <c r="P23" i="2"/>
  <c r="O23" i="2"/>
  <c r="N23" i="2"/>
  <c r="M23" i="2"/>
  <c r="L23" i="2"/>
  <c r="K23" i="2"/>
  <c r="J23" i="2"/>
  <c r="I23" i="2"/>
  <c r="H23" i="2"/>
  <c r="G23" i="2"/>
  <c r="F23" i="2"/>
  <c r="E23" i="2"/>
  <c r="R22" i="2"/>
  <c r="Q22" i="2"/>
  <c r="P22" i="2"/>
  <c r="O22" i="2"/>
  <c r="N22" i="2"/>
  <c r="M22" i="2"/>
  <c r="L22" i="2"/>
  <c r="K22" i="2"/>
  <c r="J22" i="2"/>
  <c r="I22" i="2"/>
  <c r="H22" i="2"/>
  <c r="G22" i="2"/>
  <c r="F22" i="2"/>
  <c r="E22" i="2"/>
  <c r="R21" i="2"/>
  <c r="Q21" i="2"/>
  <c r="P21" i="2"/>
  <c r="O21" i="2"/>
  <c r="N21" i="2"/>
  <c r="M21" i="2"/>
  <c r="L21" i="2"/>
  <c r="K21" i="2"/>
  <c r="J21" i="2"/>
  <c r="I21" i="2"/>
  <c r="H21" i="2"/>
  <c r="G21" i="2"/>
  <c r="F21" i="2"/>
  <c r="E21" i="2"/>
  <c r="R20" i="2"/>
  <c r="Q20" i="2"/>
  <c r="P20" i="2"/>
  <c r="O20" i="2"/>
  <c r="N20" i="2"/>
  <c r="M20" i="2"/>
  <c r="L20" i="2"/>
  <c r="K20" i="2"/>
  <c r="J20" i="2"/>
  <c r="I20" i="2"/>
  <c r="H20" i="2"/>
  <c r="G20" i="2"/>
  <c r="F20" i="2"/>
  <c r="E20" i="2"/>
  <c r="R19" i="2"/>
  <c r="Q19" i="2"/>
  <c r="P19" i="2"/>
  <c r="O19" i="2"/>
  <c r="N19" i="2"/>
  <c r="M19" i="2"/>
  <c r="L19" i="2"/>
  <c r="K19" i="2"/>
  <c r="J19" i="2"/>
  <c r="I19" i="2"/>
  <c r="H19" i="2"/>
  <c r="G19" i="2"/>
  <c r="F19" i="2"/>
  <c r="E19" i="2"/>
  <c r="R18" i="2"/>
  <c r="Q18" i="2"/>
  <c r="P18" i="2"/>
  <c r="O18" i="2"/>
  <c r="N18" i="2"/>
  <c r="M18" i="2"/>
  <c r="L18" i="2"/>
  <c r="K18" i="2"/>
  <c r="J18" i="2"/>
  <c r="I18" i="2"/>
  <c r="H18" i="2"/>
  <c r="G18" i="2"/>
  <c r="F18" i="2"/>
  <c r="E18" i="2"/>
  <c r="R17" i="2"/>
  <c r="Q17" i="2"/>
  <c r="P17" i="2"/>
  <c r="O17" i="2"/>
  <c r="N17" i="2"/>
  <c r="M17" i="2"/>
  <c r="L17" i="2"/>
  <c r="K17" i="2"/>
  <c r="J17" i="2"/>
  <c r="I17" i="2"/>
  <c r="H17" i="2"/>
  <c r="G17" i="2"/>
  <c r="F17" i="2"/>
  <c r="E17" i="2"/>
  <c r="R16" i="2"/>
  <c r="Q16" i="2"/>
  <c r="P16" i="2"/>
  <c r="O16" i="2"/>
  <c r="N16" i="2"/>
  <c r="M16" i="2"/>
  <c r="L16" i="2"/>
  <c r="K16" i="2"/>
  <c r="J16" i="2"/>
  <c r="I16" i="2"/>
  <c r="H16" i="2"/>
  <c r="G16" i="2"/>
  <c r="F16" i="2"/>
  <c r="E16" i="2"/>
  <c r="R15" i="2"/>
  <c r="Q15" i="2"/>
  <c r="P15" i="2"/>
  <c r="O15" i="2"/>
  <c r="N15" i="2"/>
  <c r="M15" i="2"/>
  <c r="L15" i="2"/>
  <c r="K15" i="2"/>
  <c r="J15" i="2"/>
  <c r="I15" i="2"/>
  <c r="H15" i="2"/>
  <c r="G15" i="2"/>
  <c r="F15" i="2"/>
  <c r="E15" i="2"/>
  <c r="R14" i="2"/>
  <c r="Q14" i="2"/>
  <c r="P14" i="2"/>
  <c r="O14" i="2"/>
  <c r="N14" i="2"/>
  <c r="M14" i="2"/>
  <c r="L14" i="2"/>
  <c r="K14" i="2"/>
  <c r="J14" i="2"/>
  <c r="I14" i="2"/>
  <c r="H14" i="2"/>
  <c r="G14" i="2"/>
  <c r="F14" i="2"/>
  <c r="E14" i="2"/>
  <c r="R13" i="2"/>
  <c r="Q13" i="2"/>
  <c r="P13" i="2"/>
  <c r="O13" i="2"/>
  <c r="N13" i="2"/>
  <c r="M13" i="2"/>
  <c r="L13" i="2"/>
  <c r="K13" i="2"/>
  <c r="J13" i="2"/>
  <c r="I13" i="2"/>
  <c r="H13" i="2"/>
  <c r="G13" i="2"/>
  <c r="F13" i="2"/>
  <c r="E13" i="2"/>
  <c r="R12" i="2"/>
  <c r="Q12" i="2"/>
  <c r="P12" i="2"/>
  <c r="O12" i="2"/>
  <c r="N12" i="2"/>
  <c r="M12" i="2"/>
  <c r="L12" i="2"/>
  <c r="K12" i="2"/>
  <c r="J12" i="2"/>
  <c r="I12" i="2"/>
  <c r="H12" i="2"/>
  <c r="G12" i="2"/>
  <c r="F12" i="2"/>
  <c r="E12" i="2"/>
  <c r="R11" i="2"/>
  <c r="Q11" i="2"/>
  <c r="P11" i="2"/>
  <c r="O11" i="2"/>
  <c r="N11" i="2"/>
  <c r="M11" i="2"/>
  <c r="L11" i="2"/>
  <c r="K11" i="2"/>
  <c r="J11" i="2"/>
  <c r="I11" i="2"/>
  <c r="H11" i="2"/>
  <c r="G11" i="2"/>
  <c r="F11" i="2"/>
  <c r="E11" i="2"/>
  <c r="R10" i="2"/>
  <c r="Q10" i="2"/>
  <c r="P10" i="2"/>
  <c r="O10" i="2"/>
  <c r="N10" i="2"/>
  <c r="M10" i="2"/>
  <c r="L10" i="2"/>
  <c r="K10" i="2"/>
  <c r="J10" i="2"/>
  <c r="I10" i="2"/>
  <c r="H10" i="2"/>
  <c r="G10" i="2"/>
  <c r="F10" i="2"/>
  <c r="E10" i="2"/>
  <c r="R9" i="2"/>
  <c r="Q9" i="2"/>
  <c r="P9" i="2"/>
  <c r="O9" i="2"/>
  <c r="N9" i="2"/>
  <c r="M9" i="2"/>
  <c r="L9" i="2"/>
  <c r="K9" i="2"/>
  <c r="J9" i="2"/>
  <c r="I9" i="2"/>
  <c r="H9" i="2"/>
  <c r="G9" i="2"/>
  <c r="F9" i="2"/>
  <c r="E9" i="2"/>
  <c r="R8" i="2"/>
  <c r="Q8" i="2"/>
  <c r="P8" i="2"/>
  <c r="O8" i="2"/>
  <c r="N8" i="2"/>
  <c r="M8" i="2"/>
  <c r="L8" i="2"/>
  <c r="K8" i="2"/>
  <c r="J8" i="2"/>
  <c r="I8" i="2"/>
  <c r="H8" i="2"/>
  <c r="G8" i="2"/>
  <c r="F8" i="2"/>
  <c r="E8" i="2"/>
  <c r="R7" i="2"/>
  <c r="Q7" i="2"/>
  <c r="P7" i="2"/>
  <c r="O7" i="2"/>
  <c r="N7" i="2"/>
  <c r="M7" i="2"/>
  <c r="L7" i="2"/>
  <c r="K7" i="2"/>
  <c r="J7" i="2"/>
  <c r="I7" i="2"/>
  <c r="H7" i="2"/>
  <c r="G7" i="2"/>
  <c r="F7" i="2"/>
  <c r="E7" i="2"/>
  <c r="R6" i="2"/>
  <c r="Q6" i="2"/>
  <c r="P6" i="2"/>
  <c r="O6" i="2"/>
  <c r="N6" i="2"/>
  <c r="M6" i="2"/>
  <c r="L6" i="2"/>
  <c r="K6" i="2"/>
  <c r="J6" i="2"/>
  <c r="I6" i="2"/>
  <c r="H6" i="2"/>
  <c r="G6" i="2"/>
  <c r="F6" i="2"/>
  <c r="E6" i="2"/>
  <c r="R5" i="2"/>
  <c r="Q5" i="2"/>
  <c r="P5" i="2"/>
  <c r="O5" i="2"/>
  <c r="N5" i="2"/>
  <c r="M5" i="2"/>
  <c r="L5" i="2"/>
  <c r="K5" i="2"/>
  <c r="J5" i="2"/>
  <c r="I5" i="2"/>
  <c r="H5" i="2"/>
  <c r="G5" i="2"/>
  <c r="F5" i="2"/>
  <c r="E5" i="2"/>
  <c r="R4" i="2"/>
  <c r="Q4" i="2"/>
  <c r="P4" i="2"/>
  <c r="O4" i="2"/>
  <c r="N4" i="2"/>
  <c r="M4" i="2"/>
  <c r="L4" i="2"/>
  <c r="K4" i="2"/>
  <c r="J4" i="2"/>
  <c r="I4" i="2"/>
  <c r="H4" i="2"/>
  <c r="C26" i="5" s="1"/>
  <c r="G4" i="2"/>
  <c r="C24" i="5" s="1"/>
  <c r="F4" i="2"/>
  <c r="C23" i="5" s="1"/>
  <c r="E4" i="2"/>
  <c r="C22" i="5" s="1"/>
  <c r="R3" i="2"/>
  <c r="Q3" i="2"/>
  <c r="P3" i="2"/>
  <c r="O3" i="2"/>
  <c r="N3" i="2"/>
  <c r="M3" i="2"/>
  <c r="L3" i="2"/>
  <c r="K3" i="2"/>
  <c r="J3" i="2"/>
  <c r="I3" i="2"/>
  <c r="H3" i="2"/>
  <c r="G3" i="2"/>
  <c r="F3" i="2"/>
  <c r="E3" i="2"/>
  <c r="R2" i="2"/>
  <c r="Q2" i="2"/>
  <c r="P2" i="2"/>
  <c r="O2" i="2"/>
  <c r="N2" i="2"/>
  <c r="M2" i="2"/>
  <c r="L2" i="2"/>
  <c r="K2" i="2"/>
  <c r="J2" i="2"/>
  <c r="I2" i="2"/>
  <c r="H2" i="2"/>
  <c r="G2" i="2"/>
  <c r="F2" i="2"/>
  <c r="E2" i="2"/>
  <c r="C42" i="5"/>
  <c r="B42" i="5"/>
  <c r="C41" i="5"/>
  <c r="B41" i="5"/>
  <c r="C40" i="5"/>
  <c r="B40" i="5"/>
  <c r="C25" i="5"/>
  <c r="C21" i="5"/>
  <c r="C20" i="5"/>
  <c r="C19" i="5"/>
  <c r="C18" i="5"/>
</calcChain>
</file>

<file path=xl/sharedStrings.xml><?xml version="1.0" encoding="utf-8"?>
<sst xmlns="http://schemas.openxmlformats.org/spreadsheetml/2006/main" count="285" uniqueCount="253">
  <si>
    <t>U.S. gasoline demand: reader guide</t>
  </si>
  <si>
    <t>Research question</t>
  </si>
  <si>
    <t>How are U.S. gasoline prices associated with gasoline consumption after accounting for real income and recurring seasonal patterns?</t>
  </si>
  <si>
    <t>Sample</t>
  </si>
  <si>
    <t>192 monthly observations, January 2010–December 2025. Each row is one month. Original source values were retrieved on October 3, 2026.</t>
  </si>
  <si>
    <t>1. Follow the analysis</t>
  </si>
  <si>
    <t>Step</t>
  </si>
  <si>
    <t>Worksheet</t>
  </si>
  <si>
    <t>Location</t>
  </si>
  <si>
    <t>What to check</t>
  </si>
  <si>
    <t>1. Check sources</t>
  </si>
  <si>
    <t>Sources and Notes</t>
  </si>
  <si>
    <t>Rows 4–6 and 9–21</t>
  </si>
  <si>
    <t>Read the series definitions, units, official links, retrieval date and data preparation notes.</t>
  </si>
  <si>
    <t>2. Read the data</t>
  </si>
  <si>
    <t>Monthly Data</t>
  </si>
  <si>
    <t>A1:D193</t>
  </si>
  <si>
    <t>Date, consumption proxy, gasoline price and real income. Rows 2–193 contain the 192 observations.</t>
  </si>
  <si>
    <t>3. Inspect formulas</t>
  </si>
  <si>
    <t>E2:R193</t>
  </si>
  <si>
    <t>Natural logs in E:G. February–December indicators in H:R. Click a cell to see its formula in Excel.</t>
  </si>
  <si>
    <t>4. Read the baseline</t>
  </si>
  <si>
    <t>OLS Results</t>
  </si>
  <si>
    <t>Rows 6–30</t>
  </si>
  <si>
    <t>Conventional OLS coefficients, uncertainty and model fit for all 192 months.</t>
  </si>
  <si>
    <t>5. Check reliability</t>
  </si>
  <si>
    <t>Robustness</t>
  </si>
  <si>
    <t>Rows 5–31</t>
  </si>
  <si>
    <t>OLS with robust standard errors and pandemic sensitivity checks. Full-sample results remain the main analysis.</t>
  </si>
  <si>
    <t>2. Trace one actual observation</t>
  </si>
  <si>
    <t>Example month</t>
  </si>
  <si>
    <t>March 2010 is row 4 of Monthly Data. The values below link to that row so you can follow the source values into the regression variables.</t>
  </si>
  <si>
    <t>Field</t>
  </si>
  <si>
    <t>Cell in Monthly Data</t>
  </si>
  <si>
    <t>Value</t>
  </si>
  <si>
    <t>Meaning</t>
  </si>
  <si>
    <t>Date</t>
  </si>
  <si>
    <t>A4</t>
  </si>
  <si>
    <t>The first day of March identifies the month. This is not a daily observation.</t>
  </si>
  <si>
    <t>Consumption</t>
  </si>
  <si>
    <t>B4</t>
  </si>
  <si>
    <t>Monthly average daily rate: 8,793 thousand barrels per day. It is not the month’s total barrels.</t>
  </si>
  <si>
    <t>Gasoline price</t>
  </si>
  <si>
    <t>C4</t>
  </si>
  <si>
    <t>Regular all-formulations retail price in nominal dollars per gallon.</t>
  </si>
  <si>
    <t>Real income</t>
  </si>
  <si>
    <t>D4</t>
  </si>
  <si>
    <t>Aggregate disposable income in billions of chained 2017 dollars, at a seasonally adjusted annual rate.</t>
  </si>
  <si>
    <t>ln(Consumption)</t>
  </si>
  <si>
    <t>E4</t>
  </si>
  <si>
    <t>LN(B4) transforms consumption into its natural logarithm.</t>
  </si>
  <si>
    <t>ln(Price)</t>
  </si>
  <si>
    <t>F4</t>
  </si>
  <si>
    <t>LN(C4) transforms price into its natural logarithm.</t>
  </si>
  <si>
    <t>ln(Income)</t>
  </si>
  <si>
    <t>G4</t>
  </si>
  <si>
    <t>LN(D4) transforms income into its natural logarithm.</t>
  </si>
  <si>
    <t>March indicator</t>
  </si>
  <si>
    <t>I4</t>
  </si>
  <si>
    <t>Formula: IF(MONTH($A4)=3,1,0). It returns 1 for March and 0 for other months.</t>
  </si>
  <si>
    <t>February indicator</t>
  </si>
  <si>
    <t>H4</t>
  </si>
  <si>
    <t>Formula: IF(MONTH($A4)=2,1,0). It returns 0 here because this observation is March.</t>
  </si>
  <si>
    <t>3. Understand the model</t>
  </si>
  <si>
    <t>ln(Q_t) = β0 + β1 ln(P_t) + β2 ln(I_t) + Σ δ_m D_m,t + ε_t   (m = February,…,December)</t>
  </si>
  <si>
    <t>Variables</t>
  </si>
  <si>
    <t>Q is the gasoline consumption proxy, P is gasoline price, and I is real disposable personal income. D identifies the calendar month. β0 is the intercept and ε is the part the model does not explain.</t>
  </si>
  <si>
    <t>Why use logs?</t>
  </si>
  <si>
    <t>Logging both consumption and price lets β1 describe an approximate percentage relationship: a 1% higher price is associated with β1% different consumption, holding income and calendar month constant.</t>
  </si>
  <si>
    <t>Why omit January?</t>
  </si>
  <si>
    <t>January stays in the sample and has all eleven indicators equal to 0. Each month coefficient compares that month with January. An intercept plus all twelve month indicators would contain redundant information.</t>
  </si>
  <si>
    <t>What does OLS do?</t>
  </si>
  <si>
    <t>Ordinary least squares chooses the coefficients that minimize the sum of squared prediction errors. The original model includes 13 explanatory variables and an intercept.</t>
  </si>
  <si>
    <t>What does HAC do?</t>
  </si>
  <si>
    <t>Heteroskedasticity and autocorrelation consistent standard errors allow errors to vary in size and to be related across months. HAC changes estimated uncertainty and significance tests, while keeping the same OLS coefficients.</t>
  </si>
  <si>
    <t>What does HAC(12) mean?</t>
  </si>
  <si>
    <t>The main uncertainty check allows correlation across as many as 12 calendar months. Checks with 3 and 6 lags show whether that choice changes the conclusion. Method details are on Robustness.</t>
  </si>
  <si>
    <t>4. Read the main results</t>
  </si>
  <si>
    <t>Analysis</t>
  </si>
  <si>
    <t>Price coefficient</t>
  </si>
  <si>
    <t>p value</t>
  </si>
  <si>
    <t>Interpretation</t>
  </si>
  <si>
    <t>Full sample: conventional OLS</t>
  </si>
  <si>
    <t>The baseline price association is small and not statistically significant at the 5% level.</t>
  </si>
  <si>
    <t>Full sample: OLS with HAC(12)</t>
  </si>
  <si>
    <t>Same coefficient, greater uncertainty. This is the main check accounting for correlation between months.</t>
  </si>
  <si>
    <t>Exclude Mar 2020–Dec 2021</t>
  </si>
  <si>
    <t>A stronger negative association appears after removing 22 months. Report it as a sample-sensitivity check.</t>
  </si>
  <si>
    <t>What is a p value?</t>
  </si>
  <si>
    <t>Assuming the true coefficient is zero and the testing assumptions hold, the p value measures how unusual a result at least this far from zero would be. Below 0.05 is the chosen significance threshold. A larger value does not prove that price has no effect.</t>
  </si>
  <si>
    <t>What is R squared?</t>
  </si>
  <si>
    <t>R squared describes how much variation in log consumption the model explains within this sample. The baseline value is 0.2589, or about 25.9%. It does not establish causation or forecasting accuracy.</t>
  </si>
  <si>
    <t>What is the conclusion?</t>
  </si>
  <si>
    <t>The full-sample price association is not statistically distinguishable from zero. Removing pandemic months changes the estimate substantially. Present both findings and describe the sample sensitivity.</t>
  </si>
  <si>
    <t>Can we claim causation?</t>
  </si>
  <si>
    <t>No. Observed market prices and quantities reflect both supply and demand, and omitted factors may affect both. This model describes conditional associations. Robust standard errors do not solve that identification problem.</t>
  </si>
  <si>
    <t>5. Explain and reproduce the work</t>
  </si>
  <si>
    <t>A short explanation</t>
  </si>
  <si>
    <t>“I combined 192 months of official U.S. data, logged consumption, price and income, and used month indicators to account for seasonality. I estimated OLS and checked uncertainty with robust standard errors. The full-sample price coefficient was not significant, but excluding pandemic months changed it. I report that sensitivity and do not interpret the coefficient as causal.”</t>
  </si>
  <si>
    <t>Which cells calculate?</t>
  </si>
  <si>
    <t>Monthly Data E2:R193 contains live Excel formulas. The results sheets contain numerical estimates calculated outside Excel and saved in the workbook. The linked summaries here display those saved estimates.</t>
  </si>
  <si>
    <t>Reproduce baseline OLS</t>
  </si>
  <si>
    <t>Excel: Data → Data Analysis → Regression. Y range: Monthly Data!E1:E193. X range: Monthly Data!F1:R193. Select Labels. Leave Constant is Zero unchecked. Place the output on a new worksheet.</t>
  </si>
  <si>
    <t>Reproduce robust checks</t>
  </si>
  <si>
    <t>Excel’s standard Regression tool returns conventional OLS uncertainty. HAC calculations require the documented covariance method or software that supports Newey–West standard errors. All windows and settings are recorded on Robustness.</t>
  </si>
  <si>
    <t>If you edit the data</t>
  </si>
  <si>
    <t>Excel updates the log and indicator formulas. The saved regression results must be recalculated separately, including the robust checks. Automatic formula updates do not rerun the regressions.</t>
  </si>
  <si>
    <t>Consumption (thousand bbl/day)</t>
  </si>
  <si>
    <t>Gas Price ($/gallon)</t>
  </si>
  <si>
    <t>Real Income (bn chained 2017 $ SAAR)</t>
  </si>
  <si>
    <t>February dummy</t>
  </si>
  <si>
    <t>March dummy</t>
  </si>
  <si>
    <t>April dummy</t>
  </si>
  <si>
    <t>May dummy</t>
  </si>
  <si>
    <t>June dummy</t>
  </si>
  <si>
    <t>July dummy</t>
  </si>
  <si>
    <t>August dummy</t>
  </si>
  <si>
    <t>September dummy</t>
  </si>
  <si>
    <t>October dummy</t>
  </si>
  <si>
    <t>November dummy</t>
  </si>
  <si>
    <t>December dummy</t>
  </si>
  <si>
    <t>U.S. gasoline demand: baseline OLS</t>
  </si>
  <si>
    <t>Sample: January 2010 through December 2025. January is the reference month.</t>
  </si>
  <si>
    <t>ln(Q) = intercept + β1 ln(P) + β2 ln(I) + February–December controls + error</t>
  </si>
  <si>
    <t>Term</t>
  </si>
  <si>
    <t>Coefficient</t>
  </si>
  <si>
    <t>Std. error</t>
  </si>
  <si>
    <t>t statistic</t>
  </si>
  <si>
    <t>95% lower</t>
  </si>
  <si>
    <t>95% upper</t>
  </si>
  <si>
    <t>Intercept</t>
  </si>
  <si>
    <t>February</t>
  </si>
  <si>
    <t>March</t>
  </si>
  <si>
    <t>April</t>
  </si>
  <si>
    <t>May</t>
  </si>
  <si>
    <t>June</t>
  </si>
  <si>
    <t>July</t>
  </si>
  <si>
    <t>August</t>
  </si>
  <si>
    <t>September</t>
  </si>
  <si>
    <t>October</t>
  </si>
  <si>
    <t>November</t>
  </si>
  <si>
    <t>December</t>
  </si>
  <si>
    <t>Model statistics</t>
  </si>
  <si>
    <t>ANOVA</t>
  </si>
  <si>
    <t>df</t>
  </si>
  <si>
    <t>Sum of squares</t>
  </si>
  <si>
    <t>Mean square</t>
  </si>
  <si>
    <t>Observations</t>
  </si>
  <si>
    <t>Regression</t>
  </si>
  <si>
    <t>Residual degrees of freedom</t>
  </si>
  <si>
    <t>Residual</t>
  </si>
  <si>
    <t>R squared</t>
  </si>
  <si>
    <t>Total</t>
  </si>
  <si>
    <t>Adjusted R squared</t>
  </si>
  <si>
    <t>Regression standard error</t>
  </si>
  <si>
    <t>F statistic</t>
  </si>
  <si>
    <t>Significance F</t>
  </si>
  <si>
    <t>Saved OLS estimates</t>
  </si>
  <si>
    <t>These are saved numerical OLS estimates. Excel formulas create the logs and month indicators. Rerun the regression after changing any input. Read Start Here for a guide.</t>
  </si>
  <si>
    <t>Price interpretation</t>
  </si>
  <si>
    <t>A 1% higher gasoline price is associated with approximately 0.0094% lower consumption, holding income and calendar month constant. This full-sample estimate is not significant.</t>
  </si>
  <si>
    <t>Statistical inference</t>
  </si>
  <si>
    <t>Conventional OLS standard errors assume homoskedastic, uncorrelated errors. Price is not significant at 5% under these assumptions.</t>
  </si>
  <si>
    <t>Time-series limitation</t>
  </si>
  <si>
    <t>Durbin–Watson = 0.487 suggests positive residual correlation across months. The completed HAC and pandemic sensitivity checks are on Robustness.</t>
  </si>
  <si>
    <t>Rerun in Excel</t>
  </si>
  <si>
    <t>Data → Data Analysis → Regression. Y: Monthly Data!E1:E193. X: Monthly Data!F1:R193. Select Labels, leave Constant is Zero unchecked, and choose a new output sheet.</t>
  </si>
  <si>
    <t>Model scope</t>
  </si>
  <si>
    <t>Nominal gasoline price and real aggregate income follow the requested specification. This observational regression does not establish a causal demand elasticity.</t>
  </si>
  <si>
    <t>Gasoline demand: reliability checks</t>
  </si>
  <si>
    <t>OLS coefficients with different standard errors and samples. Start Here explains the terms.</t>
  </si>
  <si>
    <t>Model / inference</t>
  </si>
  <si>
    <t>N</t>
  </si>
  <si>
    <t>Price SE</t>
  </si>
  <si>
    <t>Price p value</t>
  </si>
  <si>
    <t>Price 95% lower</t>
  </si>
  <si>
    <t>Price 95% upper</t>
  </si>
  <si>
    <t>Income coefficient</t>
  </si>
  <si>
    <t>Income SE</t>
  </si>
  <si>
    <t>Income p value</t>
  </si>
  <si>
    <t>HAC lags</t>
  </si>
  <si>
    <t>Full sample: OLS with HAC(6)</t>
  </si>
  <si>
    <t>Full sample: OLS with HAC(3)</t>
  </si>
  <si>
    <t>Full sample: OLS with HC1</t>
  </si>
  <si>
    <t>Add pandemic indicator: HAC(12)</t>
  </si>
  <si>
    <t>Exclude Mar 2020–Dec 2021: HAC(12)</t>
  </si>
  <si>
    <t>Exclude Mar–Dec 2020: HAC(12)</t>
  </si>
  <si>
    <t>Exclude Mar 2020–Jun 2021: HAC(12)</t>
  </si>
  <si>
    <t>Robust SE</t>
  </si>
  <si>
    <t>z statistic</t>
  </si>
  <si>
    <t>Main finding</t>
  </si>
  <si>
    <t>The full-sample price estimate is −0.0094. HAC 12 raises its standard error from 0.0184 to 0.0730 and gives p = 0.8976. Neither price nor income is significant at 5% with HAC 12.</t>
  </si>
  <si>
    <t>Pandemic sensitivity</t>
  </si>
  <si>
    <t>Excluding March 2020–December 2021 leaves 170 observations. Price is −0.1187, with a 95% HAC interval of [−0.1410, −0.0964]. A 1% higher price is associated with approximately 0.119% lower consumption in this restricted sample.</t>
  </si>
  <si>
    <t>Alternative pandemic windows</t>
  </si>
  <si>
    <t>Excluding March–December 2020 yields −0.1088. Excluding March 2020–June 2021 yields −0.1178. Both are significant at 5% with HAC 12. These exploratory comparisons are not adjustments for multiple testing.</t>
  </si>
  <si>
    <t>Indicator specification</t>
  </si>
  <si>
    <t>Adds one dummy equal to 1 for March 2020–December 2021 to the full-sample model. Price is −0.0510 (p = 0.2337), so an additive pandemic indicator does not produce a significant full-sample price estimate.</t>
  </si>
  <si>
    <t>HAC method</t>
  </si>
  <si>
    <t>Newey–West covariance with Bartlett weights w(l) = 1 − l/(L+1), maximum lag L and correction n/(n−k). HAC 12 covers up to one year. HAC 3 and 6 test bandwidth sensitivity. HC1 allows heteroskedasticity only.</t>
  </si>
  <si>
    <t>Inference</t>
  </si>
  <si>
    <t>HAC/HC1 p values are two-sided asymptotic normal tests. The 95% intervals use 1.959964 × robust SE. Conventional OLS uses t tests with 178 df. HAC changes uncertainty, not OLS coefficients or R squared.</t>
  </si>
  <si>
    <t>Calendar gaps</t>
  </si>
  <si>
    <t>For excluded samples, lag distances use original calendar months. Scores for omitted months are zero, so February 2020 and January 2022 are not treated as adjacent observations. The correction uses the retained sample size.</t>
  </si>
  <si>
    <t>Calculation and verification</t>
  </si>
  <si>
    <t>Numerical least squares using the workbook’s unrounded source values. Verified full-sample coefficient agreement, full rank, residual orthogonality and HAC covariance agreement with an independently constructed calendar-time kernel matrix.</t>
  </si>
  <si>
    <t>Paper interpretation</t>
  </si>
  <si>
    <t>Keep the full sample as the primary result and present pandemic exclusions as sensitivity tests. The significant restricted-sample relationship has magnitude below one but does not establish a causal demand elasticity. HAC does not resolve endogeneity or model misspecification.</t>
  </si>
  <si>
    <t>Source and refresh</t>
  </si>
  <si>
    <t>Original data sources and retrieval dates remain in Sources and Notes. These are fixed estimates and require recalculation after data edits. Method reference: https://www.statsmodels.org/dev/generated/statsmodels.stats.sandwich_covariance.cov_hac.html</t>
  </si>
  <si>
    <t>Sources and methodology</t>
  </si>
  <si>
    <t>Variable / provider</t>
  </si>
  <si>
    <t>Series / definition</t>
  </si>
  <si>
    <t>Units / frequency</t>
  </si>
  <si>
    <t>Official source URL</t>
  </si>
  <si>
    <t>Gas Price / EIA</t>
  </si>
  <si>
    <t>U.S. Regular All Formulations Retail Gasoline Price. EMM_EPMR_PTE_NUS_DPG.</t>
  </si>
  <si>
    <t>Dollars per gallon. Monthly. Nominal, not seasonally adjusted.</t>
  </si>
  <si>
    <t>https://www.eia.gov/dnav/pet/hist/LeafHandler.ashx?n=PET&amp;s=EMM_EPMR_PTE_NUS_DPG&amp;f=M</t>
  </si>
  <si>
    <t>Consumption / EIA</t>
  </si>
  <si>
    <t>U.S. Product Supplied of Finished Motor Gasoline. MGFUPUS2.</t>
  </si>
  <si>
    <t>Thousand barrels per day. Monthly average, not seasonally adjusted.</t>
  </si>
  <si>
    <t>https://www.eia.gov/dnav/pet/hist/LeafHandler.ashx?n=PET&amp;s=MGFUPUS2&amp;f=M</t>
  </si>
  <si>
    <t>Real Income / BEA via FRED</t>
  </si>
  <si>
    <t>Real Disposable Personal Income. DSPIC96. BEA account A067RX.</t>
  </si>
  <si>
    <t>Billions of chained 2017 dollars. Monthly, seasonally adjusted annual rate.</t>
  </si>
  <si>
    <t>https://fred.stlouisfed.org/series/DSPIC96</t>
  </si>
  <si>
    <t>Retrieved</t>
  </si>
  <si>
    <t>October 3, 2026 (America/New_York). Current revised data vintage.</t>
  </si>
  <si>
    <t>Source updates</t>
  </si>
  <si>
    <t>EIA price: September 29, 2026. EIA consumption: September 30, 2026. FRED income: September 30, 2026.</t>
  </si>
  <si>
    <t>FRED download</t>
  </si>
  <si>
    <t>https://fred.stlouisfed.org/graph/fredgraph.csv?id=DSPIC96&amp;cosd=2010-01-01&amp;coed=2025-12-01</t>
  </si>
  <si>
    <t>Join and coverage</t>
  </si>
  <si>
    <t>Joined on calendar year/month. Date is first day of month. Exactly 192 unique consecutive months, January 2010–December 2025. All three series complete and positive.</t>
  </si>
  <si>
    <t>Source handling</t>
  </si>
  <si>
    <t>EIA values transcribed programmatically from official monthly HTML tables. FRED values read from its official CSV. No interpolation, imputation, deflation or annual-rate conversion.</t>
  </si>
  <si>
    <t>Consumption definition</t>
  </si>
  <si>
    <t>Product supplied is the requested proxy for consumption. It covers finished motor gasoline across grades, whereas price represents regular gasoline. It is a flow rate, not a monthly volume total.</t>
  </si>
  <si>
    <t>Income definition</t>
  </si>
  <si>
    <t>Aggregate real disposable personal income is retained as published. It is not per-capita income. SAAR is not divided by 12.</t>
  </si>
  <si>
    <t>Transformations</t>
  </si>
  <si>
    <t>E:G contain Excel LN formulas. H:R contain IF(MONTH(Date)=month,1,0). January has all 11 dummies equal to zero.</t>
  </si>
  <si>
    <t>OLS method</t>
  </si>
  <si>
    <t>192 observations, 13 regressors plus intercept. Numerical least squares on the unrounded natural logs. Conventional covariance = residual variance × inverse(X transpose X). Two-sided t tests and 95% t confidence intervals, 178 residual df.</t>
  </si>
  <si>
    <t>Results refresh</t>
  </si>
  <si>
    <t>OLS Results contains fixed numerical estimates, not live regression formulas. Changes to data update the logs and dummies but require rerunning Regression in Excel.</t>
  </si>
  <si>
    <t>Excel formula alternative</t>
  </si>
  <si>
    <t>Enter =LINEST('Monthly Data'!E2:E193,'Monthly Data'!F2:R193,TRUE,TRUE) in an empty area. LINEST returns coefficients in reverse X-column order with intercept last.</t>
  </si>
  <si>
    <t>Paper limitations</t>
  </si>
  <si>
    <t>Monthly controls address recurring seasonality. The specification does not include trends, pandemic indicators or instruments. Serial correlation, endogeneity and the nominal-price/real-income mix limit interpretation.</t>
  </si>
  <si>
    <t>Validation</t>
  </si>
  <si>
    <t>Confirmed 192 records per series, exact matching date sets, positive inputs and complete monthly sequence. Checked January 2010 and December 2025 endpoints, April 2020 consumption 5,866 and June 2022 price 4.929.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</si>
</sst>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mmm\-yyyy"/>
    <numFmt numFmtId="165" formatCode="0.000"/>
    <numFmt numFmtId="166" formatCode="#,##0.0"/>
    <numFmt numFmtId="167" formatCode="0.000000"/>
    <numFmt numFmtId="168" formatCode="0.0000"/>
    <numFmt numFmtId="170" formatCode="[&lt;0.0001]&quot;&lt;0.0001&quot;;0.0000"/>
  </numFmts>
  <fonts count="9">
    <font>
      <sz val="11"/>
      <name val="Carlito"/>
    </font>
    <font>
      <sz val="10"/>
      <color rgb="FF25364A"/>
      <name val="Arial"/>
      <family val="2"/>
    </font>
    <font>
      <sz val="10"/>
      <color rgb="FF245A81"/>
      <name val="Arial"/>
      <family val="2"/>
    </font>
    <font>
      <b/>
      <sz val="10"/>
      <color rgb="FFFFFFFF"/>
      <name val="Arial"/>
      <family val="2"/>
    </font>
    <font>
      <b/>
      <sz val="16"/>
      <color rgb="FF17365D"/>
      <name val="Arial"/>
      <family val="2"/>
    </font>
    <font>
      <b/>
      <sz val="10"/>
      <color rgb="FF25364A"/>
      <name val="Arial"/>
      <family val="2"/>
    </font>
    <font>
      <sz val="11"/>
      <color rgb="FF25364A"/>
      <name val="Arial"/>
      <family val="2"/>
    </font>
    <font>
      <b/>
      <sz val="11"/>
      <color rgb="FF25364A"/>
      <name val="Arial"/>
      <family val="2"/>
    </font>
    <font>
      <b/>
      <sz val="11"/>
      <color rgb="FFFFFFFF"/>
      <name val="Arial"/>
      <family val="2"/>
    </font>
  </fonts>
  <fills count="9">
    <fill>
      <patternFill patternType="none"/>
    </fill>
    <fill>
      <patternFill patternType="gray125"/>
    </fill>
    <fill>
      <patternFill patternType="solid">
        <fgColor rgb="FFF0F5F9"/>
      </patternFill>
    </fill>
    <fill>
      <patternFill patternType="solid">
        <fgColor rgb="FF17365D"/>
      </patternFill>
    </fill>
    <fill>
      <patternFill patternType="solid">
        <fgColor rgb="FFEAF1F8"/>
      </patternFill>
    </fill>
    <fill>
      <patternFill patternType="solid">
        <fgColor rgb="FF17365D"/>
      </patternFill>
    </fill>
    <fill>
      <patternFill patternType="solid">
        <fgColor rgb="FFEAF1F8"/>
      </patternFill>
    </fill>
    <fill>
      <patternFill patternType="solid">
        <fgColor rgb="FF17365D"/>
      </patternFill>
    </fill>
    <fill>
      <patternFill patternType="solid">
        <fgColor rgb="FFEAF1F8"/>
      </patternFill>
    </fill>
  </fills>
  <borders count="1">
    <border>
      <left/>
      <right/>
      <top/>
      <bottom/>
      <diagonal/>
    </border>
  </borders>
  <cellStyleXfs count="1">
    <xf numFmtId="0" fontId="0" fillId="0" borderId="0"/>
  </cellStyleXfs>
  <cellXfs count="39">
    <xf numFmtId="0" fontId="0" fillId="0" borderId="0" xfId="0"/>
    <xf numFmtId="0" fontId="1" fillId="0" borderId="0" xfId="0" applyFont="1" applyAlignment="1">
      <alignment vertical="center"/>
    </xf>
    <xf numFmtId="164" fontId="1" fillId="0" borderId="0" xfId="0" applyNumberFormat="1" applyFont="1" applyAlignment="1">
      <alignment vertical="center"/>
    </xf>
    <xf numFmtId="167" fontId="1" fillId="0" borderId="0" xfId="0" applyNumberFormat="1" applyFont="1" applyAlignment="1">
      <alignment vertical="center"/>
    </xf>
    <xf numFmtId="3" fontId="2" fillId="0" borderId="0" xfId="0" applyNumberFormat="1" applyFont="1" applyAlignment="1">
      <alignment vertical="center"/>
    </xf>
    <xf numFmtId="165" fontId="2" fillId="0" borderId="0" xfId="0" applyNumberFormat="1" applyFont="1" applyAlignment="1">
      <alignment vertical="center"/>
    </xf>
    <xf numFmtId="166" fontId="2" fillId="0" borderId="0" xfId="0" applyNumberFormat="1" applyFont="1" applyAlignment="1">
      <alignment vertical="center"/>
    </xf>
    <xf numFmtId="167" fontId="1" fillId="2" borderId="0" xfId="0" applyNumberFormat="1" applyFont="1" applyFill="1" applyAlignment="1">
      <alignment vertical="center"/>
    </xf>
    <xf numFmtId="1" fontId="1" fillId="2" borderId="0" xfId="0" applyNumberFormat="1" applyFont="1" applyFill="1" applyAlignment="1">
      <alignment vertical="center"/>
    </xf>
    <xf numFmtId="0" fontId="3" fillId="3" borderId="0" xfId="0" applyFont="1" applyFill="1" applyAlignment="1">
      <alignment horizontal="center" vertical="center" wrapText="1"/>
    </xf>
    <xf numFmtId="0" fontId="4" fillId="0" borderId="0" xfId="0" applyFont="1" applyAlignment="1">
      <alignment vertical="center"/>
    </xf>
    <xf numFmtId="168" fontId="1" fillId="0" borderId="0" xfId="0" applyNumberFormat="1" applyFont="1" applyAlignment="1">
      <alignment vertical="center"/>
    </xf>
    <xf numFmtId="0" fontId="1" fillId="4" borderId="0" xfId="0" applyFont="1" applyFill="1" applyAlignment="1">
      <alignment vertical="center"/>
    </xf>
    <xf numFmtId="167" fontId="1" fillId="4" borderId="0" xfId="0" applyNumberFormat="1" applyFont="1" applyFill="1" applyAlignment="1">
      <alignment vertical="center"/>
    </xf>
    <xf numFmtId="11" fontId="1" fillId="0" borderId="0" xfId="0" applyNumberFormat="1" applyFont="1" applyAlignment="1">
      <alignment vertical="center"/>
    </xf>
    <xf numFmtId="0" fontId="5" fillId="0" borderId="0" xfId="0" applyFont="1" applyAlignment="1">
      <alignment vertical="center"/>
    </xf>
    <xf numFmtId="0" fontId="1" fillId="0" borderId="0" xfId="0" applyFont="1" applyAlignment="1">
      <alignment vertical="center" wrapText="1"/>
    </xf>
    <xf numFmtId="0" fontId="3" fillId="5" borderId="0" xfId="0" applyFont="1" applyFill="1" applyAlignment="1">
      <alignment horizontal="center" vertical="center" wrapText="1"/>
    </xf>
    <xf numFmtId="0" fontId="1" fillId="6" borderId="0" xfId="0" applyFont="1" applyFill="1" applyAlignment="1">
      <alignment vertical="center" wrapText="1"/>
    </xf>
    <xf numFmtId="0" fontId="1" fillId="6" borderId="0" xfId="0" applyFont="1" applyFill="1" applyAlignment="1">
      <alignment vertical="center"/>
    </xf>
    <xf numFmtId="168" fontId="1" fillId="6" borderId="0" xfId="0" applyNumberFormat="1" applyFont="1" applyFill="1" applyAlignment="1">
      <alignment vertical="center"/>
    </xf>
    <xf numFmtId="0" fontId="6" fillId="0" borderId="0" xfId="0" applyFont="1" applyAlignment="1">
      <alignment vertical="center"/>
    </xf>
    <xf numFmtId="0" fontId="7" fillId="0" borderId="0" xfId="0" applyFont="1" applyAlignment="1">
      <alignment vertical="center" wrapText="1"/>
    </xf>
    <xf numFmtId="0" fontId="6" fillId="0" borderId="0" xfId="0" applyFont="1" applyAlignment="1">
      <alignment vertical="center" wrapText="1"/>
    </xf>
    <xf numFmtId="0" fontId="8" fillId="7" borderId="0" xfId="0" applyFont="1" applyFill="1" applyAlignment="1">
      <alignment vertical="center"/>
    </xf>
    <xf numFmtId="0" fontId="7" fillId="8" borderId="0" xfId="0" applyFont="1" applyFill="1" applyAlignment="1">
      <alignment horizontal="center" vertical="center" wrapText="1"/>
    </xf>
    <xf numFmtId="164" fontId="6" fillId="0" borderId="0" xfId="0" applyNumberFormat="1" applyFont="1" applyAlignment="1">
      <alignment vertical="center" wrapText="1"/>
    </xf>
    <xf numFmtId="3" fontId="6" fillId="0" borderId="0" xfId="0" applyNumberFormat="1" applyFont="1" applyAlignment="1">
      <alignment vertical="center" wrapText="1"/>
    </xf>
    <xf numFmtId="165" fontId="6" fillId="0" borderId="0" xfId="0" applyNumberFormat="1" applyFont="1" applyAlignment="1">
      <alignment vertical="center" wrapText="1"/>
    </xf>
    <xf numFmtId="166" fontId="6" fillId="0" borderId="0" xfId="0" applyNumberFormat="1" applyFont="1" applyAlignment="1">
      <alignment vertical="center" wrapText="1"/>
    </xf>
    <xf numFmtId="167" fontId="6" fillId="0" borderId="0" xfId="0" applyNumberFormat="1" applyFont="1" applyAlignment="1">
      <alignment vertical="center" wrapText="1"/>
    </xf>
    <xf numFmtId="1" fontId="6" fillId="0" borderId="0" xfId="0" applyNumberFormat="1" applyFont="1" applyAlignment="1">
      <alignment vertical="center" wrapText="1"/>
    </xf>
    <xf numFmtId="168" fontId="6" fillId="0" borderId="0" xfId="0" applyNumberFormat="1" applyFont="1" applyAlignment="1">
      <alignment vertical="center" wrapText="1"/>
    </xf>
    <xf numFmtId="170" fontId="6" fillId="0" borderId="0" xfId="0" applyNumberFormat="1" applyFont="1" applyAlignment="1">
      <alignment vertical="center" wrapText="1"/>
    </xf>
    <xf numFmtId="170" fontId="1" fillId="0" borderId="0" xfId="0" applyNumberFormat="1" applyFont="1" applyAlignment="1">
      <alignment vertical="center"/>
    </xf>
    <xf numFmtId="170" fontId="1" fillId="4" borderId="0" xfId="0" applyNumberFormat="1" applyFont="1" applyFill="1" applyAlignment="1">
      <alignment vertical="center"/>
    </xf>
    <xf numFmtId="0" fontId="6" fillId="0" borderId="0" xfId="0" applyFont="1" applyAlignment="1">
      <alignment vertical="center" wrapText="1"/>
    </xf>
    <xf numFmtId="0" fontId="7" fillId="0" borderId="0" xfId="0" applyFont="1" applyAlignment="1">
      <alignment vertical="center" wrapText="1"/>
    </xf>
    <xf numFmtId="0" fontId="1"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GasolineMonthly" displayName="GasolineMonthly" ref="A1:R193" totalsRowShown="0">
  <tableColumns count="18">
    <tableColumn id="1" xr3:uid="{00000000-0010-0000-0000-000001000000}" name="Date"/>
    <tableColumn id="2" xr3:uid="{00000000-0010-0000-0000-000002000000}" name="Consumption (thousand bbl/day)"/>
    <tableColumn id="3" xr3:uid="{00000000-0010-0000-0000-000003000000}" name="Gas Price ($/gallon)"/>
    <tableColumn id="4" xr3:uid="{00000000-0010-0000-0000-000004000000}" name="Real Income (bn chained 2017 $ SAAR)"/>
    <tableColumn id="5" xr3:uid="{00000000-0010-0000-0000-000005000000}" name="ln(Consumption)"/>
    <tableColumn id="6" xr3:uid="{00000000-0010-0000-0000-000006000000}" name="ln(Price)"/>
    <tableColumn id="7" xr3:uid="{00000000-0010-0000-0000-000007000000}" name="ln(Income)"/>
    <tableColumn id="8" xr3:uid="{00000000-0010-0000-0000-000008000000}" name="February dummy"/>
    <tableColumn id="9" xr3:uid="{00000000-0010-0000-0000-000009000000}" name="March dummy"/>
    <tableColumn id="10" xr3:uid="{00000000-0010-0000-0000-00000A000000}" name="April dummy"/>
    <tableColumn id="11" xr3:uid="{00000000-0010-0000-0000-00000B000000}" name="May dummy"/>
    <tableColumn id="12" xr3:uid="{00000000-0010-0000-0000-00000C000000}" name="June dummy"/>
    <tableColumn id="13" xr3:uid="{00000000-0010-0000-0000-00000D000000}" name="July dummy"/>
    <tableColumn id="14" xr3:uid="{00000000-0010-0000-0000-00000E000000}" name="August dummy"/>
    <tableColumn id="15" xr3:uid="{00000000-0010-0000-0000-00000F000000}" name="September dummy"/>
    <tableColumn id="16" xr3:uid="{00000000-0010-0000-0000-000010000000}" name="October dummy"/>
    <tableColumn id="17" xr3:uid="{00000000-0010-0000-0000-000011000000}" name="November dummy"/>
    <tableColumn id="18" xr3:uid="{00000000-0010-0000-0000-000012000000}" name="December dummy"/>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507399"/>
  </sheetPr>
  <dimension ref="A1:D94"/>
  <sheetViews>
    <sheetView showGridLines="0" topLeftCell="A45" workbookViewId="0">
      <selection activeCell="F6" sqref="F6"/>
    </sheetView>
  </sheetViews>
  <sheetFormatPr baseColWidth="10" defaultColWidth="8.83203125" defaultRowHeight="14"/>
  <cols>
    <col min="1" max="1" width="27" customWidth="1"/>
    <col min="2" max="3" width="20" customWidth="1"/>
    <col min="4" max="4" width="60" customWidth="1"/>
  </cols>
  <sheetData>
    <row r="1" spans="1:4" ht="23" customHeight="1">
      <c r="A1" s="21"/>
      <c r="B1" s="21"/>
      <c r="C1" s="21"/>
      <c r="D1" s="21"/>
    </row>
    <row r="2" spans="1:4" ht="23" customHeight="1">
      <c r="A2" s="10" t="s">
        <v>0</v>
      </c>
      <c r="B2" s="21"/>
      <c r="C2" s="21"/>
      <c r="D2" s="21"/>
    </row>
    <row r="3" spans="1:4" ht="23" customHeight="1">
      <c r="A3" s="21"/>
      <c r="B3" s="21"/>
      <c r="C3" s="21"/>
      <c r="D3" s="21"/>
    </row>
    <row r="4" spans="1:4" ht="46" customHeight="1">
      <c r="A4" s="22" t="s">
        <v>1</v>
      </c>
      <c r="B4" s="36" t="s">
        <v>2</v>
      </c>
      <c r="C4" s="36"/>
      <c r="D4" s="36"/>
    </row>
    <row r="5" spans="1:4" ht="42" customHeight="1">
      <c r="A5" s="22" t="s">
        <v>3</v>
      </c>
      <c r="B5" s="36" t="s">
        <v>4</v>
      </c>
      <c r="C5" s="36"/>
      <c r="D5" s="36"/>
    </row>
    <row r="6" spans="1:4" ht="23" customHeight="1">
      <c r="A6" s="21"/>
      <c r="B6" s="21"/>
      <c r="C6" s="21"/>
      <c r="D6" s="21"/>
    </row>
    <row r="7" spans="1:4" ht="27" customHeight="1">
      <c r="A7" s="24" t="s">
        <v>5</v>
      </c>
      <c r="B7" s="24"/>
      <c r="C7" s="24"/>
      <c r="D7" s="24"/>
    </row>
    <row r="8" spans="1:4" ht="34" customHeight="1">
      <c r="A8" s="25" t="s">
        <v>6</v>
      </c>
      <c r="B8" s="25" t="s">
        <v>7</v>
      </c>
      <c r="C8" s="25" t="s">
        <v>8</v>
      </c>
      <c r="D8" s="25" t="s">
        <v>9</v>
      </c>
    </row>
    <row r="9" spans="1:4" ht="49" customHeight="1">
      <c r="A9" s="23" t="s">
        <v>10</v>
      </c>
      <c r="B9" s="23" t="s">
        <v>11</v>
      </c>
      <c r="C9" s="23" t="s">
        <v>12</v>
      </c>
      <c r="D9" s="23" t="s">
        <v>13</v>
      </c>
    </row>
    <row r="10" spans="1:4" ht="49" customHeight="1">
      <c r="A10" s="23" t="s">
        <v>14</v>
      </c>
      <c r="B10" s="23" t="s">
        <v>15</v>
      </c>
      <c r="C10" s="23" t="s">
        <v>16</v>
      </c>
      <c r="D10" s="23" t="s">
        <v>17</v>
      </c>
    </row>
    <row r="11" spans="1:4" ht="49" customHeight="1">
      <c r="A11" s="23" t="s">
        <v>18</v>
      </c>
      <c r="B11" s="23" t="s">
        <v>15</v>
      </c>
      <c r="C11" s="23" t="s">
        <v>19</v>
      </c>
      <c r="D11" s="23" t="s">
        <v>20</v>
      </c>
    </row>
    <row r="12" spans="1:4" ht="49" customHeight="1">
      <c r="A12" s="23" t="s">
        <v>21</v>
      </c>
      <c r="B12" s="23" t="s">
        <v>22</v>
      </c>
      <c r="C12" s="23" t="s">
        <v>23</v>
      </c>
      <c r="D12" s="23" t="s">
        <v>24</v>
      </c>
    </row>
    <row r="13" spans="1:4" ht="49" customHeight="1">
      <c r="A13" s="23" t="s">
        <v>25</v>
      </c>
      <c r="B13" s="23" t="s">
        <v>26</v>
      </c>
      <c r="C13" s="23" t="s">
        <v>27</v>
      </c>
      <c r="D13" s="23" t="s">
        <v>28</v>
      </c>
    </row>
    <row r="14" spans="1:4" ht="23" customHeight="1">
      <c r="A14" s="21"/>
      <c r="B14" s="21"/>
      <c r="C14" s="21"/>
      <c r="D14" s="21"/>
    </row>
    <row r="15" spans="1:4" ht="27" customHeight="1">
      <c r="A15" s="24" t="s">
        <v>29</v>
      </c>
      <c r="B15" s="24"/>
      <c r="C15" s="24"/>
      <c r="D15" s="24"/>
    </row>
    <row r="16" spans="1:4" ht="43" customHeight="1">
      <c r="A16" s="22" t="s">
        <v>30</v>
      </c>
      <c r="B16" s="36" t="s">
        <v>31</v>
      </c>
      <c r="C16" s="36"/>
      <c r="D16" s="36"/>
    </row>
    <row r="17" spans="1:4" ht="34" customHeight="1">
      <c r="A17" s="25" t="s">
        <v>32</v>
      </c>
      <c r="B17" s="25" t="s">
        <v>33</v>
      </c>
      <c r="C17" s="25" t="s">
        <v>34</v>
      </c>
      <c r="D17" s="25" t="s">
        <v>35</v>
      </c>
    </row>
    <row r="18" spans="1:4" ht="43" customHeight="1">
      <c r="A18" s="23" t="s">
        <v>36</v>
      </c>
      <c r="B18" s="23" t="s">
        <v>37</v>
      </c>
      <c r="C18" s="26">
        <f>'Monthly Data'!A4</f>
        <v>40238</v>
      </c>
      <c r="D18" s="23" t="s">
        <v>38</v>
      </c>
    </row>
    <row r="19" spans="1:4" ht="43" customHeight="1">
      <c r="A19" s="23" t="s">
        <v>39</v>
      </c>
      <c r="B19" s="23" t="s">
        <v>40</v>
      </c>
      <c r="C19" s="27">
        <f>'Monthly Data'!B4</f>
        <v>8793</v>
      </c>
      <c r="D19" s="23" t="s">
        <v>41</v>
      </c>
    </row>
    <row r="20" spans="1:4" ht="43" customHeight="1">
      <c r="A20" s="23" t="s">
        <v>42</v>
      </c>
      <c r="B20" s="23" t="s">
        <v>43</v>
      </c>
      <c r="C20" s="28">
        <f>'Monthly Data'!C4</f>
        <v>2.7719999999999998</v>
      </c>
      <c r="D20" s="23" t="s">
        <v>44</v>
      </c>
    </row>
    <row r="21" spans="1:4" ht="43" customHeight="1">
      <c r="A21" s="23" t="s">
        <v>45</v>
      </c>
      <c r="B21" s="23" t="s">
        <v>46</v>
      </c>
      <c r="C21" s="29">
        <f>'Monthly Data'!D4</f>
        <v>12340.3</v>
      </c>
      <c r="D21" s="23" t="s">
        <v>47</v>
      </c>
    </row>
    <row r="22" spans="1:4" ht="43" customHeight="1">
      <c r="A22" s="23" t="s">
        <v>48</v>
      </c>
      <c r="B22" s="23" t="s">
        <v>49</v>
      </c>
      <c r="C22" s="30">
        <f>'Monthly Data'!E4</f>
        <v>9.0817112293790014</v>
      </c>
      <c r="D22" s="23" t="s">
        <v>50</v>
      </c>
    </row>
    <row r="23" spans="1:4" ht="43" customHeight="1">
      <c r="A23" s="23" t="s">
        <v>51</v>
      </c>
      <c r="B23" s="23" t="s">
        <v>52</v>
      </c>
      <c r="C23" s="30">
        <f>'Monthly Data'!F4</f>
        <v>1.0195690813276568</v>
      </c>
      <c r="D23" s="23" t="s">
        <v>53</v>
      </c>
    </row>
    <row r="24" spans="1:4" ht="43" customHeight="1">
      <c r="A24" s="23" t="s">
        <v>54</v>
      </c>
      <c r="B24" s="23" t="s">
        <v>55</v>
      </c>
      <c r="C24" s="30">
        <f>'Monthly Data'!G4</f>
        <v>9.4206256083470112</v>
      </c>
      <c r="D24" s="23" t="s">
        <v>56</v>
      </c>
    </row>
    <row r="25" spans="1:4" ht="43" customHeight="1">
      <c r="A25" s="23" t="s">
        <v>57</v>
      </c>
      <c r="B25" s="23" t="s">
        <v>58</v>
      </c>
      <c r="C25" s="31">
        <f>'Monthly Data'!I4</f>
        <v>1</v>
      </c>
      <c r="D25" s="23" t="s">
        <v>59</v>
      </c>
    </row>
    <row r="26" spans="1:4" ht="43" customHeight="1">
      <c r="A26" s="23" t="s">
        <v>60</v>
      </c>
      <c r="B26" s="23" t="s">
        <v>61</v>
      </c>
      <c r="C26" s="31">
        <f>'Monthly Data'!H4</f>
        <v>0</v>
      </c>
      <c r="D26" s="23" t="s">
        <v>62</v>
      </c>
    </row>
    <row r="27" spans="1:4" ht="23" customHeight="1">
      <c r="A27" s="21"/>
      <c r="B27" s="21"/>
      <c r="C27" s="21"/>
      <c r="D27" s="21"/>
    </row>
    <row r="28" spans="1:4" ht="27" customHeight="1">
      <c r="A28" s="24" t="s">
        <v>63</v>
      </c>
      <c r="B28" s="24"/>
      <c r="C28" s="24"/>
      <c r="D28" s="24"/>
    </row>
    <row r="29" spans="1:4" ht="23" customHeight="1">
      <c r="A29" s="37" t="s">
        <v>64</v>
      </c>
      <c r="B29" s="37"/>
      <c r="C29" s="37"/>
      <c r="D29" s="37"/>
    </row>
    <row r="30" spans="1:4" ht="23" customHeight="1">
      <c r="A30" s="37"/>
      <c r="B30" s="37"/>
      <c r="C30" s="37"/>
      <c r="D30" s="37"/>
    </row>
    <row r="31" spans="1:4" ht="57" customHeight="1">
      <c r="A31" s="22" t="s">
        <v>65</v>
      </c>
      <c r="B31" s="36" t="s">
        <v>66</v>
      </c>
      <c r="C31" s="36"/>
      <c r="D31" s="36"/>
    </row>
    <row r="32" spans="1:4" ht="58" customHeight="1">
      <c r="A32" s="22" t="s">
        <v>67</v>
      </c>
      <c r="B32" s="36" t="s">
        <v>68</v>
      </c>
      <c r="C32" s="36"/>
      <c r="D32" s="36"/>
    </row>
    <row r="33" spans="1:4" ht="64" customHeight="1">
      <c r="A33" s="22" t="s">
        <v>69</v>
      </c>
      <c r="B33" s="36" t="s">
        <v>70</v>
      </c>
      <c r="C33" s="36"/>
      <c r="D33" s="36"/>
    </row>
    <row r="34" spans="1:4" ht="57" customHeight="1">
      <c r="A34" s="22" t="s">
        <v>71</v>
      </c>
      <c r="B34" s="36" t="s">
        <v>72</v>
      </c>
      <c r="C34" s="36"/>
      <c r="D34" s="36"/>
    </row>
    <row r="35" spans="1:4" ht="59" customHeight="1">
      <c r="A35" s="22" t="s">
        <v>73</v>
      </c>
      <c r="B35" s="36" t="s">
        <v>74</v>
      </c>
      <c r="C35" s="36"/>
      <c r="D35" s="36"/>
    </row>
    <row r="36" spans="1:4" ht="56" customHeight="1">
      <c r="A36" s="22" t="s">
        <v>75</v>
      </c>
      <c r="B36" s="36" t="s">
        <v>76</v>
      </c>
      <c r="C36" s="36"/>
      <c r="D36" s="36"/>
    </row>
    <row r="37" spans="1:4" ht="23" customHeight="1">
      <c r="A37" s="21"/>
      <c r="B37" s="21"/>
      <c r="C37" s="21"/>
      <c r="D37" s="21"/>
    </row>
    <row r="38" spans="1:4" ht="27" customHeight="1">
      <c r="A38" s="24" t="s">
        <v>77</v>
      </c>
      <c r="B38" s="24"/>
      <c r="C38" s="24"/>
      <c r="D38" s="24"/>
    </row>
    <row r="39" spans="1:4" ht="34" customHeight="1">
      <c r="A39" s="25" t="s">
        <v>78</v>
      </c>
      <c r="B39" s="25" t="s">
        <v>79</v>
      </c>
      <c r="C39" s="25" t="s">
        <v>80</v>
      </c>
      <c r="D39" s="25" t="s">
        <v>81</v>
      </c>
    </row>
    <row r="40" spans="1:4" ht="58" customHeight="1">
      <c r="A40" s="23" t="s">
        <v>82</v>
      </c>
      <c r="B40" s="32">
        <f>'OLS Results'!B8</f>
        <v>-9.3953554112408081E-3</v>
      </c>
      <c r="C40" s="33">
        <f>'OLS Results'!E8</f>
        <v>0.61029044603858495</v>
      </c>
      <c r="D40" s="23" t="s">
        <v>83</v>
      </c>
    </row>
    <row r="41" spans="1:4" ht="58" customHeight="1">
      <c r="A41" s="23" t="s">
        <v>84</v>
      </c>
      <c r="B41" s="32">
        <f>Robustness!C7</f>
        <v>-9.3953554112408081E-3</v>
      </c>
      <c r="C41" s="33">
        <f>Robustness!E7</f>
        <v>0.89761277451426624</v>
      </c>
      <c r="D41" s="23" t="s">
        <v>85</v>
      </c>
    </row>
    <row r="42" spans="1:4" ht="58" customHeight="1">
      <c r="A42" s="23" t="s">
        <v>86</v>
      </c>
      <c r="B42" s="32">
        <f>Robustness!C12</f>
        <v>-0.11868111319626089</v>
      </c>
      <c r="C42" s="33">
        <f>Robustness!E12</f>
        <v>1.5857516097843216E-25</v>
      </c>
      <c r="D42" s="23" t="s">
        <v>87</v>
      </c>
    </row>
    <row r="43" spans="1:4" ht="23" customHeight="1">
      <c r="A43" s="21"/>
      <c r="B43" s="21"/>
      <c r="C43" s="21"/>
      <c r="D43" s="21"/>
    </row>
    <row r="44" spans="1:4" ht="67" customHeight="1">
      <c r="A44" s="22" t="s">
        <v>88</v>
      </c>
      <c r="B44" s="36" t="s">
        <v>89</v>
      </c>
      <c r="C44" s="36"/>
      <c r="D44" s="36"/>
    </row>
    <row r="45" spans="1:4" ht="53" customHeight="1">
      <c r="A45" s="22" t="s">
        <v>90</v>
      </c>
      <c r="B45" s="36" t="s">
        <v>91</v>
      </c>
      <c r="C45" s="36"/>
      <c r="D45" s="36"/>
    </row>
    <row r="46" spans="1:4" ht="62" customHeight="1">
      <c r="A46" s="22" t="s">
        <v>92</v>
      </c>
      <c r="B46" s="36" t="s">
        <v>93</v>
      </c>
      <c r="C46" s="36"/>
      <c r="D46" s="36"/>
    </row>
    <row r="47" spans="1:4" ht="66" customHeight="1">
      <c r="A47" s="22" t="s">
        <v>94</v>
      </c>
      <c r="B47" s="36" t="s">
        <v>95</v>
      </c>
      <c r="C47" s="36"/>
      <c r="D47" s="36"/>
    </row>
    <row r="48" spans="1:4" ht="23" customHeight="1">
      <c r="A48" s="21"/>
      <c r="B48" s="21"/>
      <c r="C48" s="21"/>
      <c r="D48" s="21"/>
    </row>
    <row r="49" spans="1:4" ht="27" customHeight="1">
      <c r="A49" s="24" t="s">
        <v>96</v>
      </c>
      <c r="B49" s="24"/>
      <c r="C49" s="24"/>
      <c r="D49" s="24"/>
    </row>
    <row r="50" spans="1:4" ht="96" customHeight="1">
      <c r="A50" s="22" t="s">
        <v>97</v>
      </c>
      <c r="B50" s="36" t="s">
        <v>98</v>
      </c>
      <c r="C50" s="36"/>
      <c r="D50" s="36"/>
    </row>
    <row r="51" spans="1:4" ht="59" customHeight="1">
      <c r="A51" s="22" t="s">
        <v>99</v>
      </c>
      <c r="B51" s="36" t="s">
        <v>100</v>
      </c>
      <c r="C51" s="36"/>
      <c r="D51" s="36"/>
    </row>
    <row r="52" spans="1:4" ht="66" customHeight="1">
      <c r="A52" s="22" t="s">
        <v>101</v>
      </c>
      <c r="B52" s="36" t="s">
        <v>102</v>
      </c>
      <c r="C52" s="36"/>
      <c r="D52" s="36"/>
    </row>
    <row r="53" spans="1:4" ht="57" customHeight="1">
      <c r="A53" s="22" t="s">
        <v>103</v>
      </c>
      <c r="B53" s="36" t="s">
        <v>104</v>
      </c>
      <c r="C53" s="36"/>
      <c r="D53" s="36"/>
    </row>
    <row r="54" spans="1:4" ht="56" customHeight="1">
      <c r="A54" s="22" t="s">
        <v>105</v>
      </c>
      <c r="B54" s="36" t="s">
        <v>106</v>
      </c>
      <c r="C54" s="36"/>
      <c r="D54" s="36"/>
    </row>
    <row r="55" spans="1:4" ht="23" customHeight="1">
      <c r="A55" s="21"/>
      <c r="B55" s="21"/>
      <c r="C55" s="21"/>
      <c r="D55" s="21"/>
    </row>
    <row r="56" spans="1:4" ht="23" customHeight="1">
      <c r="A56" s="21"/>
      <c r="B56" s="21"/>
      <c r="C56" s="21"/>
      <c r="D56" s="21"/>
    </row>
    <row r="57" spans="1:4" ht="23" customHeight="1">
      <c r="A57" s="21"/>
      <c r="B57" s="21"/>
      <c r="C57" s="21"/>
      <c r="D57" s="21"/>
    </row>
    <row r="58" spans="1:4" ht="23" customHeight="1">
      <c r="A58" s="21"/>
      <c r="B58" s="21"/>
      <c r="C58" s="21"/>
      <c r="D58" s="21"/>
    </row>
    <row r="59" spans="1:4" ht="23" customHeight="1">
      <c r="A59" s="21"/>
      <c r="B59" s="21"/>
      <c r="C59" s="21"/>
      <c r="D59" s="21"/>
    </row>
    <row r="60" spans="1:4" ht="23" customHeight="1">
      <c r="A60" s="21"/>
      <c r="B60" s="21"/>
      <c r="C60" s="21"/>
      <c r="D60" s="21"/>
    </row>
    <row r="61" spans="1:4" ht="23" customHeight="1">
      <c r="A61" s="21"/>
      <c r="B61" s="21"/>
      <c r="C61" s="21"/>
      <c r="D61" s="21"/>
    </row>
    <row r="62" spans="1:4" ht="23" customHeight="1">
      <c r="A62" s="21"/>
      <c r="B62" s="21"/>
      <c r="C62" s="21"/>
      <c r="D62" s="21"/>
    </row>
    <row r="63" spans="1:4" ht="23" customHeight="1">
      <c r="A63" s="21"/>
      <c r="B63" s="21"/>
      <c r="C63" s="21"/>
      <c r="D63" s="21"/>
    </row>
    <row r="64" spans="1:4" ht="23" customHeight="1">
      <c r="A64" s="21"/>
      <c r="B64" s="21"/>
      <c r="C64" s="21"/>
      <c r="D64" s="21"/>
    </row>
    <row r="65" spans="1:4" ht="23" customHeight="1">
      <c r="A65" s="21"/>
      <c r="B65" s="21"/>
      <c r="C65" s="21"/>
      <c r="D65" s="21"/>
    </row>
    <row r="66" spans="1:4" ht="23" customHeight="1">
      <c r="A66" s="21"/>
      <c r="B66" s="21"/>
      <c r="C66" s="21"/>
      <c r="D66" s="21"/>
    </row>
    <row r="67" spans="1:4" ht="23" customHeight="1">
      <c r="A67" s="21"/>
      <c r="B67" s="21"/>
      <c r="C67" s="21"/>
      <c r="D67" s="21"/>
    </row>
    <row r="68" spans="1:4" ht="23" customHeight="1">
      <c r="A68" s="21"/>
      <c r="B68" s="21"/>
      <c r="C68" s="21"/>
      <c r="D68" s="21"/>
    </row>
    <row r="69" spans="1:4" ht="23" customHeight="1">
      <c r="A69" s="21"/>
      <c r="B69" s="21"/>
      <c r="C69" s="21"/>
      <c r="D69" s="21"/>
    </row>
    <row r="70" spans="1:4" ht="23" customHeight="1">
      <c r="A70" s="21"/>
      <c r="B70" s="21"/>
      <c r="C70" s="21"/>
      <c r="D70" s="21"/>
    </row>
    <row r="71" spans="1:4" ht="23" customHeight="1">
      <c r="A71" s="21"/>
      <c r="B71" s="21"/>
      <c r="C71" s="21"/>
      <c r="D71" s="21"/>
    </row>
    <row r="72" spans="1:4" ht="23" customHeight="1">
      <c r="A72" s="21"/>
      <c r="B72" s="21"/>
      <c r="C72" s="21"/>
      <c r="D72" s="21"/>
    </row>
    <row r="73" spans="1:4" ht="23" customHeight="1">
      <c r="A73" s="21"/>
      <c r="B73" s="21"/>
      <c r="C73" s="21"/>
      <c r="D73" s="21"/>
    </row>
    <row r="74" spans="1:4" ht="23" customHeight="1">
      <c r="A74" s="21"/>
      <c r="B74" s="21"/>
      <c r="C74" s="21"/>
      <c r="D74" s="21"/>
    </row>
    <row r="75" spans="1:4" ht="23" customHeight="1">
      <c r="A75" s="21"/>
      <c r="B75" s="21"/>
      <c r="C75" s="21"/>
      <c r="D75" s="21"/>
    </row>
    <row r="76" spans="1:4" ht="23" customHeight="1">
      <c r="A76" s="21"/>
      <c r="B76" s="21"/>
      <c r="C76" s="21"/>
      <c r="D76" s="21"/>
    </row>
    <row r="77" spans="1:4" ht="23" customHeight="1">
      <c r="A77" s="21"/>
      <c r="B77" s="21"/>
      <c r="C77" s="21"/>
      <c r="D77" s="21"/>
    </row>
    <row r="78" spans="1:4" ht="23" customHeight="1">
      <c r="A78" s="21"/>
      <c r="B78" s="21"/>
      <c r="C78" s="21"/>
      <c r="D78" s="21"/>
    </row>
    <row r="79" spans="1:4" ht="23" customHeight="1">
      <c r="A79" s="21"/>
      <c r="B79" s="21"/>
      <c r="C79" s="21"/>
      <c r="D79" s="21"/>
    </row>
    <row r="80" spans="1:4" ht="23" customHeight="1">
      <c r="A80" s="21"/>
      <c r="B80" s="21"/>
      <c r="C80" s="21"/>
      <c r="D80" s="21"/>
    </row>
    <row r="81" spans="1:4" ht="23" customHeight="1">
      <c r="A81" s="21"/>
      <c r="B81" s="21"/>
      <c r="C81" s="21"/>
      <c r="D81" s="21"/>
    </row>
    <row r="82" spans="1:4" ht="23" customHeight="1">
      <c r="A82" s="21"/>
      <c r="B82" s="21"/>
      <c r="C82" s="21"/>
      <c r="D82" s="21"/>
    </row>
    <row r="83" spans="1:4" ht="23" customHeight="1">
      <c r="A83" s="21"/>
      <c r="B83" s="21"/>
      <c r="C83" s="21"/>
      <c r="D83" s="21"/>
    </row>
    <row r="84" spans="1:4" ht="23" customHeight="1">
      <c r="A84" s="21"/>
      <c r="B84" s="21"/>
      <c r="C84" s="21"/>
      <c r="D84" s="21"/>
    </row>
    <row r="85" spans="1:4" ht="23" customHeight="1">
      <c r="A85" s="21"/>
      <c r="B85" s="21"/>
      <c r="C85" s="21"/>
      <c r="D85" s="21"/>
    </row>
    <row r="86" spans="1:4" ht="23" customHeight="1">
      <c r="A86" s="21"/>
      <c r="B86" s="21"/>
      <c r="C86" s="21"/>
      <c r="D86" s="21"/>
    </row>
    <row r="87" spans="1:4" ht="23" customHeight="1">
      <c r="A87" s="21"/>
      <c r="B87" s="21"/>
      <c r="C87" s="21"/>
      <c r="D87" s="21"/>
    </row>
    <row r="88" spans="1:4" ht="23" customHeight="1">
      <c r="A88" s="21"/>
      <c r="B88" s="21"/>
      <c r="C88" s="21"/>
      <c r="D88" s="21"/>
    </row>
    <row r="89" spans="1:4" ht="23" customHeight="1">
      <c r="A89" s="21"/>
      <c r="B89" s="21"/>
      <c r="C89" s="21"/>
      <c r="D89" s="21"/>
    </row>
    <row r="90" spans="1:4" ht="23" customHeight="1">
      <c r="A90" s="21"/>
      <c r="B90" s="21"/>
      <c r="C90" s="21"/>
      <c r="D90" s="21"/>
    </row>
    <row r="91" spans="1:4" ht="23" customHeight="1">
      <c r="A91" s="21"/>
      <c r="B91" s="21"/>
      <c r="C91" s="21"/>
      <c r="D91" s="21"/>
    </row>
    <row r="92" spans="1:4" ht="23" customHeight="1">
      <c r="A92" s="21"/>
      <c r="B92" s="21"/>
      <c r="C92" s="21"/>
      <c r="D92" s="21"/>
    </row>
    <row r="93" spans="1:4" ht="23" customHeight="1">
      <c r="A93" s="21"/>
      <c r="B93" s="21"/>
      <c r="C93" s="21"/>
      <c r="D93" s="21"/>
    </row>
    <row r="94" spans="1:4" ht="23" customHeight="1">
      <c r="A94" s="21"/>
      <c r="B94" s="21"/>
      <c r="C94" s="21"/>
      <c r="D94" s="21"/>
    </row>
  </sheetData>
  <mergeCells count="19">
    <mergeCell ref="B51:D51"/>
    <mergeCell ref="B52:D52"/>
    <mergeCell ref="B53:D53"/>
    <mergeCell ref="B54:D54"/>
    <mergeCell ref="B44:D44"/>
    <mergeCell ref="B45:D45"/>
    <mergeCell ref="B46:D46"/>
    <mergeCell ref="B47:D47"/>
    <mergeCell ref="B50:D50"/>
    <mergeCell ref="B32:D32"/>
    <mergeCell ref="B33:D33"/>
    <mergeCell ref="B34:D34"/>
    <mergeCell ref="B35:D35"/>
    <mergeCell ref="B36:D36"/>
    <mergeCell ref="B4:D4"/>
    <mergeCell ref="B5:D5"/>
    <mergeCell ref="B16:D16"/>
    <mergeCell ref="A29:D30"/>
    <mergeCell ref="B31:D3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7365D"/>
  </sheetPr>
  <dimension ref="A1:R193"/>
  <sheetViews>
    <sheetView showGridLines="0" tabSelected="1" workbookViewId="0">
      <pane xSplit="1" ySplit="1" topLeftCell="B2" activePane="bottomRight" state="frozen"/>
      <selection pane="topRight"/>
      <selection pane="bottomLeft"/>
      <selection pane="bottomRight" activeCell="B2" sqref="B2"/>
    </sheetView>
  </sheetViews>
  <sheetFormatPr baseColWidth="10" defaultColWidth="8.83203125" defaultRowHeight="14"/>
  <cols>
    <col min="1" max="1" width="14" customWidth="1"/>
    <col min="2" max="4" width="23" customWidth="1"/>
    <col min="5" max="7" width="19" customWidth="1"/>
    <col min="8" max="18" width="14" customWidth="1"/>
  </cols>
  <sheetData>
    <row r="1" spans="1:18" ht="57" customHeight="1">
      <c r="A1" s="9" t="s">
        <v>36</v>
      </c>
      <c r="B1" s="9" t="s">
        <v>107</v>
      </c>
      <c r="C1" s="9" t="s">
        <v>108</v>
      </c>
      <c r="D1" s="9" t="s">
        <v>109</v>
      </c>
      <c r="E1" s="9" t="s">
        <v>48</v>
      </c>
      <c r="F1" s="9" t="s">
        <v>51</v>
      </c>
      <c r="G1" s="9" t="s">
        <v>54</v>
      </c>
      <c r="H1" s="9" t="s">
        <v>110</v>
      </c>
      <c r="I1" s="9" t="s">
        <v>111</v>
      </c>
      <c r="J1" s="9" t="s">
        <v>112</v>
      </c>
      <c r="K1" s="9" t="s">
        <v>113</v>
      </c>
      <c r="L1" s="9" t="s">
        <v>114</v>
      </c>
      <c r="M1" s="9" t="s">
        <v>115</v>
      </c>
      <c r="N1" s="9" t="s">
        <v>116</v>
      </c>
      <c r="O1" s="9" t="s">
        <v>117</v>
      </c>
      <c r="P1" s="9" t="s">
        <v>118</v>
      </c>
      <c r="Q1" s="9" t="s">
        <v>119</v>
      </c>
      <c r="R1" s="9" t="s">
        <v>120</v>
      </c>
    </row>
    <row r="2" spans="1:18" ht="21" customHeight="1">
      <c r="A2" s="2">
        <v>40179</v>
      </c>
      <c r="B2" s="4">
        <v>8520</v>
      </c>
      <c r="C2" s="5">
        <v>2.7149999999999999</v>
      </c>
      <c r="D2" s="6">
        <v>12285.8</v>
      </c>
      <c r="E2" s="7">
        <f t="shared" ref="E2:E33" si="0">LN(B2)</f>
        <v>9.0501716198233613</v>
      </c>
      <c r="F2" s="7">
        <f t="shared" ref="F2:F33" si="1">LN(C2)</f>
        <v>0.99879195338589866</v>
      </c>
      <c r="G2" s="7">
        <f t="shared" ref="G2:G33" si="2">LN(D2)</f>
        <v>9.4161994029001796</v>
      </c>
      <c r="H2" s="8">
        <f t="shared" ref="H2:H33" si="3">IF(MONTH($A2)=2,1,0)</f>
        <v>0</v>
      </c>
      <c r="I2" s="8">
        <f t="shared" ref="I2:I33" si="4">IF(MONTH($A2)=3,1,0)</f>
        <v>0</v>
      </c>
      <c r="J2" s="8">
        <f t="shared" ref="J2:J33" si="5">IF(MONTH($A2)=4,1,0)</f>
        <v>0</v>
      </c>
      <c r="K2" s="8">
        <f t="shared" ref="K2:K33" si="6">IF(MONTH($A2)=5,1,0)</f>
        <v>0</v>
      </c>
      <c r="L2" s="8">
        <f t="shared" ref="L2:L33" si="7">IF(MONTH($A2)=6,1,0)</f>
        <v>0</v>
      </c>
      <c r="M2" s="8">
        <f t="shared" ref="M2:M33" si="8">IF(MONTH($A2)=7,1,0)</f>
        <v>0</v>
      </c>
      <c r="N2" s="8">
        <f t="shared" ref="N2:N33" si="9">IF(MONTH($A2)=8,1,0)</f>
        <v>0</v>
      </c>
      <c r="O2" s="8">
        <f t="shared" ref="O2:O33" si="10">IF(MONTH($A2)=9,1,0)</f>
        <v>0</v>
      </c>
      <c r="P2" s="8">
        <f t="shared" ref="P2:P33" si="11">IF(MONTH($A2)=10,1,0)</f>
        <v>0</v>
      </c>
      <c r="Q2" s="8">
        <f t="shared" ref="Q2:Q33" si="12">IF(MONTH($A2)=11,1,0)</f>
        <v>0</v>
      </c>
      <c r="R2" s="8">
        <f t="shared" ref="R2:R33" si="13">IF(MONTH($A2)=12,1,0)</f>
        <v>0</v>
      </c>
    </row>
    <row r="3" spans="1:18" ht="21" customHeight="1">
      <c r="A3" s="2">
        <v>40210</v>
      </c>
      <c r="B3" s="4">
        <v>8579</v>
      </c>
      <c r="C3" s="5">
        <v>2.6440000000000001</v>
      </c>
      <c r="D3" s="6">
        <v>12292</v>
      </c>
      <c r="E3" s="7">
        <f t="shared" si="0"/>
        <v>9.0570726355729647</v>
      </c>
      <c r="F3" s="7">
        <f t="shared" si="1"/>
        <v>0.97229292198943995</v>
      </c>
      <c r="G3" s="7">
        <f t="shared" si="2"/>
        <v>9.4167039232503758</v>
      </c>
      <c r="H3" s="8">
        <f t="shared" si="3"/>
        <v>1</v>
      </c>
      <c r="I3" s="8">
        <f t="shared" si="4"/>
        <v>0</v>
      </c>
      <c r="J3" s="8">
        <f t="shared" si="5"/>
        <v>0</v>
      </c>
      <c r="K3" s="8">
        <f t="shared" si="6"/>
        <v>0</v>
      </c>
      <c r="L3" s="8">
        <f t="shared" si="7"/>
        <v>0</v>
      </c>
      <c r="M3" s="8">
        <f t="shared" si="8"/>
        <v>0</v>
      </c>
      <c r="N3" s="8">
        <f t="shared" si="9"/>
        <v>0</v>
      </c>
      <c r="O3" s="8">
        <f t="shared" si="10"/>
        <v>0</v>
      </c>
      <c r="P3" s="8">
        <f t="shared" si="11"/>
        <v>0</v>
      </c>
      <c r="Q3" s="8">
        <f t="shared" si="12"/>
        <v>0</v>
      </c>
      <c r="R3" s="8">
        <f t="shared" si="13"/>
        <v>0</v>
      </c>
    </row>
    <row r="4" spans="1:18" ht="21" customHeight="1">
      <c r="A4" s="2">
        <v>40238</v>
      </c>
      <c r="B4" s="4">
        <v>8793</v>
      </c>
      <c r="C4" s="5">
        <v>2.7719999999999998</v>
      </c>
      <c r="D4" s="6">
        <v>12340.3</v>
      </c>
      <c r="E4" s="7">
        <f t="shared" si="0"/>
        <v>9.0817112293790014</v>
      </c>
      <c r="F4" s="7">
        <f t="shared" si="1"/>
        <v>1.0195690813276568</v>
      </c>
      <c r="G4" s="7">
        <f t="shared" si="2"/>
        <v>9.4206256083470112</v>
      </c>
      <c r="H4" s="8">
        <f t="shared" si="3"/>
        <v>0</v>
      </c>
      <c r="I4" s="8">
        <f t="shared" si="4"/>
        <v>1</v>
      </c>
      <c r="J4" s="8">
        <f t="shared" si="5"/>
        <v>0</v>
      </c>
      <c r="K4" s="8">
        <f t="shared" si="6"/>
        <v>0</v>
      </c>
      <c r="L4" s="8">
        <f t="shared" si="7"/>
        <v>0</v>
      </c>
      <c r="M4" s="8">
        <f t="shared" si="8"/>
        <v>0</v>
      </c>
      <c r="N4" s="8">
        <f t="shared" si="9"/>
        <v>0</v>
      </c>
      <c r="O4" s="8">
        <f t="shared" si="10"/>
        <v>0</v>
      </c>
      <c r="P4" s="8">
        <f t="shared" si="11"/>
        <v>0</v>
      </c>
      <c r="Q4" s="8">
        <f t="shared" si="12"/>
        <v>0</v>
      </c>
      <c r="R4" s="8">
        <f t="shared" si="13"/>
        <v>0</v>
      </c>
    </row>
    <row r="5" spans="1:18" ht="21" customHeight="1">
      <c r="A5" s="2">
        <v>40269</v>
      </c>
      <c r="B5" s="4">
        <v>9108</v>
      </c>
      <c r="C5" s="5">
        <v>2.8479999999999999</v>
      </c>
      <c r="D5" s="6">
        <v>12447.1</v>
      </c>
      <c r="E5" s="7">
        <f t="shared" si="0"/>
        <v>9.1169084271836294</v>
      </c>
      <c r="F5" s="7">
        <f t="shared" si="1"/>
        <v>1.0466169935497294</v>
      </c>
      <c r="G5" s="7">
        <f t="shared" si="2"/>
        <v>9.4292429430331381</v>
      </c>
      <c r="H5" s="8">
        <f t="shared" si="3"/>
        <v>0</v>
      </c>
      <c r="I5" s="8">
        <f t="shared" si="4"/>
        <v>0</v>
      </c>
      <c r="J5" s="8">
        <f t="shared" si="5"/>
        <v>1</v>
      </c>
      <c r="K5" s="8">
        <f t="shared" si="6"/>
        <v>0</v>
      </c>
      <c r="L5" s="8">
        <f t="shared" si="7"/>
        <v>0</v>
      </c>
      <c r="M5" s="8">
        <f t="shared" si="8"/>
        <v>0</v>
      </c>
      <c r="N5" s="8">
        <f t="shared" si="9"/>
        <v>0</v>
      </c>
      <c r="O5" s="8">
        <f t="shared" si="10"/>
        <v>0</v>
      </c>
      <c r="P5" s="8">
        <f t="shared" si="11"/>
        <v>0</v>
      </c>
      <c r="Q5" s="8">
        <f t="shared" si="12"/>
        <v>0</v>
      </c>
      <c r="R5" s="8">
        <f t="shared" si="13"/>
        <v>0</v>
      </c>
    </row>
    <row r="6" spans="1:18" ht="21" customHeight="1">
      <c r="A6" s="2">
        <v>40299</v>
      </c>
      <c r="B6" s="4">
        <v>9162</v>
      </c>
      <c r="C6" s="5">
        <v>2.8359999999999999</v>
      </c>
      <c r="D6" s="6">
        <v>12540.3</v>
      </c>
      <c r="E6" s="7">
        <f t="shared" si="0"/>
        <v>9.1228197744466879</v>
      </c>
      <c r="F6" s="7">
        <f t="shared" si="1"/>
        <v>1.042394608669881</v>
      </c>
      <c r="G6" s="7">
        <f t="shared" si="2"/>
        <v>9.4367027373457262</v>
      </c>
      <c r="H6" s="8">
        <f t="shared" si="3"/>
        <v>0</v>
      </c>
      <c r="I6" s="8">
        <f t="shared" si="4"/>
        <v>0</v>
      </c>
      <c r="J6" s="8">
        <f t="shared" si="5"/>
        <v>0</v>
      </c>
      <c r="K6" s="8">
        <f t="shared" si="6"/>
        <v>1</v>
      </c>
      <c r="L6" s="8">
        <f t="shared" si="7"/>
        <v>0</v>
      </c>
      <c r="M6" s="8">
        <f t="shared" si="8"/>
        <v>0</v>
      </c>
      <c r="N6" s="8">
        <f t="shared" si="9"/>
        <v>0</v>
      </c>
      <c r="O6" s="8">
        <f t="shared" si="10"/>
        <v>0</v>
      </c>
      <c r="P6" s="8">
        <f t="shared" si="11"/>
        <v>0</v>
      </c>
      <c r="Q6" s="8">
        <f t="shared" si="12"/>
        <v>0</v>
      </c>
      <c r="R6" s="8">
        <f t="shared" si="13"/>
        <v>0</v>
      </c>
    </row>
    <row r="7" spans="1:18" ht="21" customHeight="1">
      <c r="A7" s="2">
        <v>40330</v>
      </c>
      <c r="B7" s="4">
        <v>9311</v>
      </c>
      <c r="C7" s="5">
        <v>2.7320000000000002</v>
      </c>
      <c r="D7" s="6">
        <v>12544.3</v>
      </c>
      <c r="E7" s="7">
        <f t="shared" si="0"/>
        <v>9.138951775888529</v>
      </c>
      <c r="F7" s="7">
        <f t="shared" si="1"/>
        <v>1.0050339417085437</v>
      </c>
      <c r="G7" s="7">
        <f t="shared" si="2"/>
        <v>9.4370216581205373</v>
      </c>
      <c r="H7" s="8">
        <f t="shared" si="3"/>
        <v>0</v>
      </c>
      <c r="I7" s="8">
        <f t="shared" si="4"/>
        <v>0</v>
      </c>
      <c r="J7" s="8">
        <f t="shared" si="5"/>
        <v>0</v>
      </c>
      <c r="K7" s="8">
        <f t="shared" si="6"/>
        <v>0</v>
      </c>
      <c r="L7" s="8">
        <f t="shared" si="7"/>
        <v>1</v>
      </c>
      <c r="M7" s="8">
        <f t="shared" si="8"/>
        <v>0</v>
      </c>
      <c r="N7" s="8">
        <f t="shared" si="9"/>
        <v>0</v>
      </c>
      <c r="O7" s="8">
        <f t="shared" si="10"/>
        <v>0</v>
      </c>
      <c r="P7" s="8">
        <f t="shared" si="11"/>
        <v>0</v>
      </c>
      <c r="Q7" s="8">
        <f t="shared" si="12"/>
        <v>0</v>
      </c>
      <c r="R7" s="8">
        <f t="shared" si="13"/>
        <v>0</v>
      </c>
    </row>
    <row r="8" spans="1:18" ht="21" customHeight="1">
      <c r="A8" s="2">
        <v>40360</v>
      </c>
      <c r="B8" s="4">
        <v>9301</v>
      </c>
      <c r="C8" s="5">
        <v>2.7290000000000001</v>
      </c>
      <c r="D8" s="6">
        <v>12554.2</v>
      </c>
      <c r="E8" s="7">
        <f t="shared" si="0"/>
        <v>9.1378772002424675</v>
      </c>
      <c r="F8" s="7">
        <f t="shared" si="1"/>
        <v>1.0039352417262015</v>
      </c>
      <c r="G8" s="7">
        <f t="shared" si="2"/>
        <v>9.4378105499278906</v>
      </c>
      <c r="H8" s="8">
        <f t="shared" si="3"/>
        <v>0</v>
      </c>
      <c r="I8" s="8">
        <f t="shared" si="4"/>
        <v>0</v>
      </c>
      <c r="J8" s="8">
        <f t="shared" si="5"/>
        <v>0</v>
      </c>
      <c r="K8" s="8">
        <f t="shared" si="6"/>
        <v>0</v>
      </c>
      <c r="L8" s="8">
        <f t="shared" si="7"/>
        <v>0</v>
      </c>
      <c r="M8" s="8">
        <f t="shared" si="8"/>
        <v>1</v>
      </c>
      <c r="N8" s="8">
        <f t="shared" si="9"/>
        <v>0</v>
      </c>
      <c r="O8" s="8">
        <f t="shared" si="10"/>
        <v>0</v>
      </c>
      <c r="P8" s="8">
        <f t="shared" si="11"/>
        <v>0</v>
      </c>
      <c r="Q8" s="8">
        <f t="shared" si="12"/>
        <v>0</v>
      </c>
      <c r="R8" s="8">
        <f t="shared" si="13"/>
        <v>0</v>
      </c>
    </row>
    <row r="9" spans="1:18" ht="21" customHeight="1">
      <c r="A9" s="2">
        <v>40391</v>
      </c>
      <c r="B9" s="4">
        <v>9255</v>
      </c>
      <c r="C9" s="5">
        <v>2.73</v>
      </c>
      <c r="D9" s="6">
        <v>12591.4</v>
      </c>
      <c r="E9" s="7">
        <f t="shared" si="0"/>
        <v>9.1329192250075977</v>
      </c>
      <c r="F9" s="7">
        <f t="shared" si="1"/>
        <v>1.0043016091968684</v>
      </c>
      <c r="G9" s="7">
        <f t="shared" si="2"/>
        <v>9.4407693202207774</v>
      </c>
      <c r="H9" s="8">
        <f t="shared" si="3"/>
        <v>0</v>
      </c>
      <c r="I9" s="8">
        <f t="shared" si="4"/>
        <v>0</v>
      </c>
      <c r="J9" s="8">
        <f t="shared" si="5"/>
        <v>0</v>
      </c>
      <c r="K9" s="8">
        <f t="shared" si="6"/>
        <v>0</v>
      </c>
      <c r="L9" s="8">
        <f t="shared" si="7"/>
        <v>0</v>
      </c>
      <c r="M9" s="8">
        <f t="shared" si="8"/>
        <v>0</v>
      </c>
      <c r="N9" s="8">
        <f t="shared" si="9"/>
        <v>1</v>
      </c>
      <c r="O9" s="8">
        <f t="shared" si="10"/>
        <v>0</v>
      </c>
      <c r="P9" s="8">
        <f t="shared" si="11"/>
        <v>0</v>
      </c>
      <c r="Q9" s="8">
        <f t="shared" si="12"/>
        <v>0</v>
      </c>
      <c r="R9" s="8">
        <f t="shared" si="13"/>
        <v>0</v>
      </c>
    </row>
    <row r="10" spans="1:18" ht="21" customHeight="1">
      <c r="A10" s="2">
        <v>40422</v>
      </c>
      <c r="B10" s="4">
        <v>9112</v>
      </c>
      <c r="C10" s="5">
        <v>2.7050000000000001</v>
      </c>
      <c r="D10" s="6">
        <v>12589.9</v>
      </c>
      <c r="E10" s="7">
        <f t="shared" si="0"/>
        <v>9.1173475051270181</v>
      </c>
      <c r="F10" s="7">
        <f t="shared" si="1"/>
        <v>0.99510191229844491</v>
      </c>
      <c r="G10" s="7">
        <f t="shared" si="2"/>
        <v>9.4406501841950927</v>
      </c>
      <c r="H10" s="8">
        <f t="shared" si="3"/>
        <v>0</v>
      </c>
      <c r="I10" s="8">
        <f t="shared" si="4"/>
        <v>0</v>
      </c>
      <c r="J10" s="8">
        <f t="shared" si="5"/>
        <v>0</v>
      </c>
      <c r="K10" s="8">
        <f t="shared" si="6"/>
        <v>0</v>
      </c>
      <c r="L10" s="8">
        <f t="shared" si="7"/>
        <v>0</v>
      </c>
      <c r="M10" s="8">
        <f t="shared" si="8"/>
        <v>0</v>
      </c>
      <c r="N10" s="8">
        <f t="shared" si="9"/>
        <v>0</v>
      </c>
      <c r="O10" s="8">
        <f t="shared" si="10"/>
        <v>1</v>
      </c>
      <c r="P10" s="8">
        <f t="shared" si="11"/>
        <v>0</v>
      </c>
      <c r="Q10" s="8">
        <f t="shared" si="12"/>
        <v>0</v>
      </c>
      <c r="R10" s="8">
        <f t="shared" si="13"/>
        <v>0</v>
      </c>
    </row>
    <row r="11" spans="1:18" ht="21" customHeight="1">
      <c r="A11" s="2">
        <v>40452</v>
      </c>
      <c r="B11" s="4">
        <v>9016</v>
      </c>
      <c r="C11" s="5">
        <v>2.8010000000000002</v>
      </c>
      <c r="D11" s="6">
        <v>12592.5</v>
      </c>
      <c r="E11" s="7">
        <f t="shared" si="0"/>
        <v>9.1067560557196128</v>
      </c>
      <c r="F11" s="7">
        <f t="shared" si="1"/>
        <v>1.0299764962779716</v>
      </c>
      <c r="G11" s="7">
        <f t="shared" si="2"/>
        <v>9.4408566776198057</v>
      </c>
      <c r="H11" s="8">
        <f t="shared" si="3"/>
        <v>0</v>
      </c>
      <c r="I11" s="8">
        <f t="shared" si="4"/>
        <v>0</v>
      </c>
      <c r="J11" s="8">
        <f t="shared" si="5"/>
        <v>0</v>
      </c>
      <c r="K11" s="8">
        <f t="shared" si="6"/>
        <v>0</v>
      </c>
      <c r="L11" s="8">
        <f t="shared" si="7"/>
        <v>0</v>
      </c>
      <c r="M11" s="8">
        <f t="shared" si="8"/>
        <v>0</v>
      </c>
      <c r="N11" s="8">
        <f t="shared" si="9"/>
        <v>0</v>
      </c>
      <c r="O11" s="8">
        <f t="shared" si="10"/>
        <v>0</v>
      </c>
      <c r="P11" s="8">
        <f t="shared" si="11"/>
        <v>1</v>
      </c>
      <c r="Q11" s="8">
        <f t="shared" si="12"/>
        <v>0</v>
      </c>
      <c r="R11" s="8">
        <f t="shared" si="13"/>
        <v>0</v>
      </c>
    </row>
    <row r="12" spans="1:18" ht="21" customHeight="1">
      <c r="A12" s="2">
        <v>40483</v>
      </c>
      <c r="B12" s="4">
        <v>8816</v>
      </c>
      <c r="C12" s="5">
        <v>2.859</v>
      </c>
      <c r="D12" s="6">
        <v>12605.1</v>
      </c>
      <c r="E12" s="7">
        <f t="shared" si="0"/>
        <v>9.0843235313926964</v>
      </c>
      <c r="F12" s="7">
        <f t="shared" si="1"/>
        <v>1.0504719133401748</v>
      </c>
      <c r="G12" s="7">
        <f t="shared" si="2"/>
        <v>9.4418567729503291</v>
      </c>
      <c r="H12" s="8">
        <f t="shared" si="3"/>
        <v>0</v>
      </c>
      <c r="I12" s="8">
        <f t="shared" si="4"/>
        <v>0</v>
      </c>
      <c r="J12" s="8">
        <f t="shared" si="5"/>
        <v>0</v>
      </c>
      <c r="K12" s="8">
        <f t="shared" si="6"/>
        <v>0</v>
      </c>
      <c r="L12" s="8">
        <f t="shared" si="7"/>
        <v>0</v>
      </c>
      <c r="M12" s="8">
        <f t="shared" si="8"/>
        <v>0</v>
      </c>
      <c r="N12" s="8">
        <f t="shared" si="9"/>
        <v>0</v>
      </c>
      <c r="O12" s="8">
        <f t="shared" si="10"/>
        <v>0</v>
      </c>
      <c r="P12" s="8">
        <f t="shared" si="11"/>
        <v>0</v>
      </c>
      <c r="Q12" s="8">
        <f t="shared" si="12"/>
        <v>1</v>
      </c>
      <c r="R12" s="8">
        <f t="shared" si="13"/>
        <v>0</v>
      </c>
    </row>
    <row r="13" spans="1:18" ht="21" customHeight="1">
      <c r="A13" s="2">
        <v>40513</v>
      </c>
      <c r="B13" s="4">
        <v>8911</v>
      </c>
      <c r="C13" s="5">
        <v>2.9929999999999999</v>
      </c>
      <c r="D13" s="6">
        <v>12680.6</v>
      </c>
      <c r="E13" s="7">
        <f t="shared" si="0"/>
        <v>9.0950417476127203</v>
      </c>
      <c r="F13" s="7">
        <f t="shared" si="1"/>
        <v>1.0962762288705619</v>
      </c>
      <c r="G13" s="7">
        <f t="shared" si="2"/>
        <v>9.4478285454837145</v>
      </c>
      <c r="H13" s="8">
        <f t="shared" si="3"/>
        <v>0</v>
      </c>
      <c r="I13" s="8">
        <f t="shared" si="4"/>
        <v>0</v>
      </c>
      <c r="J13" s="8">
        <f t="shared" si="5"/>
        <v>0</v>
      </c>
      <c r="K13" s="8">
        <f t="shared" si="6"/>
        <v>0</v>
      </c>
      <c r="L13" s="8">
        <f t="shared" si="7"/>
        <v>0</v>
      </c>
      <c r="M13" s="8">
        <f t="shared" si="8"/>
        <v>0</v>
      </c>
      <c r="N13" s="8">
        <f t="shared" si="9"/>
        <v>0</v>
      </c>
      <c r="O13" s="8">
        <f t="shared" si="10"/>
        <v>0</v>
      </c>
      <c r="P13" s="8">
        <f t="shared" si="11"/>
        <v>0</v>
      </c>
      <c r="Q13" s="8">
        <f t="shared" si="12"/>
        <v>0</v>
      </c>
      <c r="R13" s="8">
        <f t="shared" si="13"/>
        <v>1</v>
      </c>
    </row>
    <row r="14" spans="1:18" ht="21" customHeight="1">
      <c r="A14" s="2">
        <v>40544</v>
      </c>
      <c r="B14" s="4">
        <v>8370</v>
      </c>
      <c r="C14" s="5">
        <v>3.0950000000000002</v>
      </c>
      <c r="D14" s="6">
        <v>12740.1</v>
      </c>
      <c r="E14" s="7">
        <f t="shared" si="0"/>
        <v>9.0324091634835213</v>
      </c>
      <c r="F14" s="7">
        <f t="shared" si="1"/>
        <v>1.1297879061365594</v>
      </c>
      <c r="G14" s="7">
        <f t="shared" si="2"/>
        <v>9.4525097783889116</v>
      </c>
      <c r="H14" s="8">
        <f t="shared" si="3"/>
        <v>0</v>
      </c>
      <c r="I14" s="8">
        <f t="shared" si="4"/>
        <v>0</v>
      </c>
      <c r="J14" s="8">
        <f t="shared" si="5"/>
        <v>0</v>
      </c>
      <c r="K14" s="8">
        <f t="shared" si="6"/>
        <v>0</v>
      </c>
      <c r="L14" s="8">
        <f t="shared" si="7"/>
        <v>0</v>
      </c>
      <c r="M14" s="8">
        <f t="shared" si="8"/>
        <v>0</v>
      </c>
      <c r="N14" s="8">
        <f t="shared" si="9"/>
        <v>0</v>
      </c>
      <c r="O14" s="8">
        <f t="shared" si="10"/>
        <v>0</v>
      </c>
      <c r="P14" s="8">
        <f t="shared" si="11"/>
        <v>0</v>
      </c>
      <c r="Q14" s="8">
        <f t="shared" si="12"/>
        <v>0</v>
      </c>
      <c r="R14" s="8">
        <f t="shared" si="13"/>
        <v>0</v>
      </c>
    </row>
    <row r="15" spans="1:18" ht="21" customHeight="1">
      <c r="A15" s="2">
        <v>40575</v>
      </c>
      <c r="B15" s="4">
        <v>8604</v>
      </c>
      <c r="C15" s="5">
        <v>3.2109999999999999</v>
      </c>
      <c r="D15" s="6">
        <v>12776.6</v>
      </c>
      <c r="E15" s="7">
        <f t="shared" si="0"/>
        <v>9.05998249038762</v>
      </c>
      <c r="F15" s="7">
        <f t="shared" si="1"/>
        <v>1.1665824151073769</v>
      </c>
      <c r="G15" s="7">
        <f t="shared" si="2"/>
        <v>9.4553706518478489</v>
      </c>
      <c r="H15" s="8">
        <f t="shared" si="3"/>
        <v>1</v>
      </c>
      <c r="I15" s="8">
        <f t="shared" si="4"/>
        <v>0</v>
      </c>
      <c r="J15" s="8">
        <f t="shared" si="5"/>
        <v>0</v>
      </c>
      <c r="K15" s="8">
        <f t="shared" si="6"/>
        <v>0</v>
      </c>
      <c r="L15" s="8">
        <f t="shared" si="7"/>
        <v>0</v>
      </c>
      <c r="M15" s="8">
        <f t="shared" si="8"/>
        <v>0</v>
      </c>
      <c r="N15" s="8">
        <f t="shared" si="9"/>
        <v>0</v>
      </c>
      <c r="O15" s="8">
        <f t="shared" si="10"/>
        <v>0</v>
      </c>
      <c r="P15" s="8">
        <f t="shared" si="11"/>
        <v>0</v>
      </c>
      <c r="Q15" s="8">
        <f t="shared" si="12"/>
        <v>0</v>
      </c>
      <c r="R15" s="8">
        <f t="shared" si="13"/>
        <v>0</v>
      </c>
    </row>
    <row r="16" spans="1:18" ht="21" customHeight="1">
      <c r="A16" s="2">
        <v>40603</v>
      </c>
      <c r="B16" s="4">
        <v>8799</v>
      </c>
      <c r="C16" s="5">
        <v>3.5609999999999999</v>
      </c>
      <c r="D16" s="6">
        <v>12742.7</v>
      </c>
      <c r="E16" s="7">
        <f t="shared" si="0"/>
        <v>9.0823933576455609</v>
      </c>
      <c r="F16" s="7">
        <f t="shared" si="1"/>
        <v>1.2700414042956407</v>
      </c>
      <c r="G16" s="7">
        <f t="shared" si="2"/>
        <v>9.4527138375981838</v>
      </c>
      <c r="H16" s="8">
        <f t="shared" si="3"/>
        <v>0</v>
      </c>
      <c r="I16" s="8">
        <f t="shared" si="4"/>
        <v>1</v>
      </c>
      <c r="J16" s="8">
        <f t="shared" si="5"/>
        <v>0</v>
      </c>
      <c r="K16" s="8">
        <f t="shared" si="6"/>
        <v>0</v>
      </c>
      <c r="L16" s="8">
        <f t="shared" si="7"/>
        <v>0</v>
      </c>
      <c r="M16" s="8">
        <f t="shared" si="8"/>
        <v>0</v>
      </c>
      <c r="N16" s="8">
        <f t="shared" si="9"/>
        <v>0</v>
      </c>
      <c r="O16" s="8">
        <f t="shared" si="10"/>
        <v>0</v>
      </c>
      <c r="P16" s="8">
        <f t="shared" si="11"/>
        <v>0</v>
      </c>
      <c r="Q16" s="8">
        <f t="shared" si="12"/>
        <v>0</v>
      </c>
      <c r="R16" s="8">
        <f t="shared" si="13"/>
        <v>0</v>
      </c>
    </row>
    <row r="17" spans="1:18" ht="21" customHeight="1">
      <c r="A17" s="2">
        <v>40634</v>
      </c>
      <c r="B17" s="4">
        <v>8796</v>
      </c>
      <c r="C17" s="5">
        <v>3.8</v>
      </c>
      <c r="D17" s="6">
        <v>12721.3</v>
      </c>
      <c r="E17" s="7">
        <f t="shared" si="0"/>
        <v>9.0820523516746512</v>
      </c>
      <c r="F17" s="7">
        <f t="shared" si="1"/>
        <v>1.33500106673234</v>
      </c>
      <c r="G17" s="7">
        <f t="shared" si="2"/>
        <v>9.4510330329297823</v>
      </c>
      <c r="H17" s="8">
        <f t="shared" si="3"/>
        <v>0</v>
      </c>
      <c r="I17" s="8">
        <f t="shared" si="4"/>
        <v>0</v>
      </c>
      <c r="J17" s="8">
        <f t="shared" si="5"/>
        <v>1</v>
      </c>
      <c r="K17" s="8">
        <f t="shared" si="6"/>
        <v>0</v>
      </c>
      <c r="L17" s="8">
        <f t="shared" si="7"/>
        <v>0</v>
      </c>
      <c r="M17" s="8">
        <f t="shared" si="8"/>
        <v>0</v>
      </c>
      <c r="N17" s="8">
        <f t="shared" si="9"/>
        <v>0</v>
      </c>
      <c r="O17" s="8">
        <f t="shared" si="10"/>
        <v>0</v>
      </c>
      <c r="P17" s="8">
        <f t="shared" si="11"/>
        <v>0</v>
      </c>
      <c r="Q17" s="8">
        <f t="shared" si="12"/>
        <v>0</v>
      </c>
      <c r="R17" s="8">
        <f t="shared" si="13"/>
        <v>0</v>
      </c>
    </row>
    <row r="18" spans="1:18" ht="21" customHeight="1">
      <c r="A18" s="2">
        <v>40664</v>
      </c>
      <c r="B18" s="4">
        <v>8817</v>
      </c>
      <c r="C18" s="5">
        <v>3.9060000000000001</v>
      </c>
      <c r="D18" s="6">
        <v>12705.3</v>
      </c>
      <c r="E18" s="7">
        <f t="shared" si="0"/>
        <v>9.0844369550870265</v>
      </c>
      <c r="F18" s="7">
        <f t="shared" si="1"/>
        <v>1.3625138324544872</v>
      </c>
      <c r="G18" s="7">
        <f t="shared" si="2"/>
        <v>9.4497745082263727</v>
      </c>
      <c r="H18" s="8">
        <f t="shared" si="3"/>
        <v>0</v>
      </c>
      <c r="I18" s="8">
        <f t="shared" si="4"/>
        <v>0</v>
      </c>
      <c r="J18" s="8">
        <f t="shared" si="5"/>
        <v>0</v>
      </c>
      <c r="K18" s="8">
        <f t="shared" si="6"/>
        <v>1</v>
      </c>
      <c r="L18" s="8">
        <f t="shared" si="7"/>
        <v>0</v>
      </c>
      <c r="M18" s="8">
        <f t="shared" si="8"/>
        <v>0</v>
      </c>
      <c r="N18" s="8">
        <f t="shared" si="9"/>
        <v>0</v>
      </c>
      <c r="O18" s="8">
        <f t="shared" si="10"/>
        <v>0</v>
      </c>
      <c r="P18" s="8">
        <f t="shared" si="11"/>
        <v>0</v>
      </c>
      <c r="Q18" s="8">
        <f t="shared" si="12"/>
        <v>0</v>
      </c>
      <c r="R18" s="8">
        <f t="shared" si="13"/>
        <v>0</v>
      </c>
    </row>
    <row r="19" spans="1:18" ht="21" customHeight="1">
      <c r="A19" s="2">
        <v>40695</v>
      </c>
      <c r="B19" s="4">
        <v>9067</v>
      </c>
      <c r="C19" s="5">
        <v>3.68</v>
      </c>
      <c r="D19" s="6">
        <v>12756.9</v>
      </c>
      <c r="E19" s="7">
        <f t="shared" si="0"/>
        <v>9.1123967276460558</v>
      </c>
      <c r="F19" s="7">
        <f t="shared" si="1"/>
        <v>1.3029127521808397</v>
      </c>
      <c r="G19" s="7">
        <f t="shared" si="2"/>
        <v>9.453827580673984</v>
      </c>
      <c r="H19" s="8">
        <f t="shared" si="3"/>
        <v>0</v>
      </c>
      <c r="I19" s="8">
        <f t="shared" si="4"/>
        <v>0</v>
      </c>
      <c r="J19" s="8">
        <f t="shared" si="5"/>
        <v>0</v>
      </c>
      <c r="K19" s="8">
        <f t="shared" si="6"/>
        <v>0</v>
      </c>
      <c r="L19" s="8">
        <f t="shared" si="7"/>
        <v>1</v>
      </c>
      <c r="M19" s="8">
        <f t="shared" si="8"/>
        <v>0</v>
      </c>
      <c r="N19" s="8">
        <f t="shared" si="9"/>
        <v>0</v>
      </c>
      <c r="O19" s="8">
        <f t="shared" si="10"/>
        <v>0</v>
      </c>
      <c r="P19" s="8">
        <f t="shared" si="11"/>
        <v>0</v>
      </c>
      <c r="Q19" s="8">
        <f t="shared" si="12"/>
        <v>0</v>
      </c>
      <c r="R19" s="8">
        <f t="shared" si="13"/>
        <v>0</v>
      </c>
    </row>
    <row r="20" spans="1:18" ht="21" customHeight="1">
      <c r="A20" s="2">
        <v>40725</v>
      </c>
      <c r="B20" s="4">
        <v>9031</v>
      </c>
      <c r="C20" s="5">
        <v>3.65</v>
      </c>
      <c r="D20" s="6">
        <v>12805.6</v>
      </c>
      <c r="E20" s="7">
        <f t="shared" si="0"/>
        <v>9.1084183822507985</v>
      </c>
      <c r="F20" s="7">
        <f t="shared" si="1"/>
        <v>1.2947271675944001</v>
      </c>
      <c r="G20" s="7">
        <f t="shared" si="2"/>
        <v>9.4576378542324875</v>
      </c>
      <c r="H20" s="8">
        <f t="shared" si="3"/>
        <v>0</v>
      </c>
      <c r="I20" s="8">
        <f t="shared" si="4"/>
        <v>0</v>
      </c>
      <c r="J20" s="8">
        <f t="shared" si="5"/>
        <v>0</v>
      </c>
      <c r="K20" s="8">
        <f t="shared" si="6"/>
        <v>0</v>
      </c>
      <c r="L20" s="8">
        <f t="shared" si="7"/>
        <v>0</v>
      </c>
      <c r="M20" s="8">
        <f t="shared" si="8"/>
        <v>1</v>
      </c>
      <c r="N20" s="8">
        <f t="shared" si="9"/>
        <v>0</v>
      </c>
      <c r="O20" s="8">
        <f t="shared" si="10"/>
        <v>0</v>
      </c>
      <c r="P20" s="8">
        <f t="shared" si="11"/>
        <v>0</v>
      </c>
      <c r="Q20" s="8">
        <f t="shared" si="12"/>
        <v>0</v>
      </c>
      <c r="R20" s="8">
        <f t="shared" si="13"/>
        <v>0</v>
      </c>
    </row>
    <row r="21" spans="1:18" ht="21" customHeight="1">
      <c r="A21" s="2">
        <v>40756</v>
      </c>
      <c r="B21" s="4">
        <v>8925</v>
      </c>
      <c r="C21" s="5">
        <v>3.6389999999999998</v>
      </c>
      <c r="D21" s="6">
        <v>12799.7</v>
      </c>
      <c r="E21" s="7">
        <f t="shared" si="0"/>
        <v>9.0966116066478406</v>
      </c>
      <c r="F21" s="7">
        <f t="shared" si="1"/>
        <v>1.2917089186300228</v>
      </c>
      <c r="G21" s="7">
        <f t="shared" si="2"/>
        <v>9.4571770121330463</v>
      </c>
      <c r="H21" s="8">
        <f t="shared" si="3"/>
        <v>0</v>
      </c>
      <c r="I21" s="8">
        <f t="shared" si="4"/>
        <v>0</v>
      </c>
      <c r="J21" s="8">
        <f t="shared" si="5"/>
        <v>0</v>
      </c>
      <c r="K21" s="8">
        <f t="shared" si="6"/>
        <v>0</v>
      </c>
      <c r="L21" s="8">
        <f t="shared" si="7"/>
        <v>0</v>
      </c>
      <c r="M21" s="8">
        <f t="shared" si="8"/>
        <v>0</v>
      </c>
      <c r="N21" s="8">
        <f t="shared" si="9"/>
        <v>1</v>
      </c>
      <c r="O21" s="8">
        <f t="shared" si="10"/>
        <v>0</v>
      </c>
      <c r="P21" s="8">
        <f t="shared" si="11"/>
        <v>0</v>
      </c>
      <c r="Q21" s="8">
        <f t="shared" si="12"/>
        <v>0</v>
      </c>
      <c r="R21" s="8">
        <f t="shared" si="13"/>
        <v>0</v>
      </c>
    </row>
    <row r="22" spans="1:18" ht="21" customHeight="1">
      <c r="A22" s="2">
        <v>40787</v>
      </c>
      <c r="B22" s="4">
        <v>8744</v>
      </c>
      <c r="C22" s="5">
        <v>3.6110000000000002</v>
      </c>
      <c r="D22" s="6">
        <v>12781.7</v>
      </c>
      <c r="E22" s="7">
        <f t="shared" si="0"/>
        <v>9.0761230298563742</v>
      </c>
      <c r="F22" s="7">
        <f t="shared" si="1"/>
        <v>1.2839847422953208</v>
      </c>
      <c r="G22" s="7">
        <f t="shared" si="2"/>
        <v>9.4557697394293925</v>
      </c>
      <c r="H22" s="8">
        <f t="shared" si="3"/>
        <v>0</v>
      </c>
      <c r="I22" s="8">
        <f t="shared" si="4"/>
        <v>0</v>
      </c>
      <c r="J22" s="8">
        <f t="shared" si="5"/>
        <v>0</v>
      </c>
      <c r="K22" s="8">
        <f t="shared" si="6"/>
        <v>0</v>
      </c>
      <c r="L22" s="8">
        <f t="shared" si="7"/>
        <v>0</v>
      </c>
      <c r="M22" s="8">
        <f t="shared" si="8"/>
        <v>0</v>
      </c>
      <c r="N22" s="8">
        <f t="shared" si="9"/>
        <v>0</v>
      </c>
      <c r="O22" s="8">
        <f t="shared" si="10"/>
        <v>1</v>
      </c>
      <c r="P22" s="8">
        <f t="shared" si="11"/>
        <v>0</v>
      </c>
      <c r="Q22" s="8">
        <f t="shared" si="12"/>
        <v>0</v>
      </c>
      <c r="R22" s="8">
        <f t="shared" si="13"/>
        <v>0</v>
      </c>
    </row>
    <row r="23" spans="1:18" ht="21" customHeight="1">
      <c r="A23" s="2">
        <v>40817</v>
      </c>
      <c r="B23" s="4">
        <v>8649</v>
      </c>
      <c r="C23" s="5">
        <v>3.448</v>
      </c>
      <c r="D23" s="6">
        <v>12791.9</v>
      </c>
      <c r="E23" s="7">
        <f t="shared" si="0"/>
        <v>9.0651989863065126</v>
      </c>
      <c r="F23" s="7">
        <f t="shared" si="1"/>
        <v>1.2377943528014466</v>
      </c>
      <c r="G23" s="7">
        <f t="shared" si="2"/>
        <v>9.4565674370973678</v>
      </c>
      <c r="H23" s="8">
        <f t="shared" si="3"/>
        <v>0</v>
      </c>
      <c r="I23" s="8">
        <f t="shared" si="4"/>
        <v>0</v>
      </c>
      <c r="J23" s="8">
        <f t="shared" si="5"/>
        <v>0</v>
      </c>
      <c r="K23" s="8">
        <f t="shared" si="6"/>
        <v>0</v>
      </c>
      <c r="L23" s="8">
        <f t="shared" si="7"/>
        <v>0</v>
      </c>
      <c r="M23" s="8">
        <f t="shared" si="8"/>
        <v>0</v>
      </c>
      <c r="N23" s="8">
        <f t="shared" si="9"/>
        <v>0</v>
      </c>
      <c r="O23" s="8">
        <f t="shared" si="10"/>
        <v>0</v>
      </c>
      <c r="P23" s="8">
        <f t="shared" si="11"/>
        <v>1</v>
      </c>
      <c r="Q23" s="8">
        <f t="shared" si="12"/>
        <v>0</v>
      </c>
      <c r="R23" s="8">
        <f t="shared" si="13"/>
        <v>0</v>
      </c>
    </row>
    <row r="24" spans="1:18" ht="21" customHeight="1">
      <c r="A24" s="2">
        <v>40848</v>
      </c>
      <c r="B24" s="4">
        <v>8537</v>
      </c>
      <c r="C24" s="5">
        <v>3.3839999999999999</v>
      </c>
      <c r="D24" s="6">
        <v>12782.7</v>
      </c>
      <c r="E24" s="7">
        <f t="shared" si="0"/>
        <v>9.052164937010307</v>
      </c>
      <c r="F24" s="7">
        <f t="shared" si="1"/>
        <v>1.2190584417439767</v>
      </c>
      <c r="G24" s="7">
        <f t="shared" si="2"/>
        <v>9.4558479732233014</v>
      </c>
      <c r="H24" s="8">
        <f t="shared" si="3"/>
        <v>0</v>
      </c>
      <c r="I24" s="8">
        <f t="shared" si="4"/>
        <v>0</v>
      </c>
      <c r="J24" s="8">
        <f t="shared" si="5"/>
        <v>0</v>
      </c>
      <c r="K24" s="8">
        <f t="shared" si="6"/>
        <v>0</v>
      </c>
      <c r="L24" s="8">
        <f t="shared" si="7"/>
        <v>0</v>
      </c>
      <c r="M24" s="8">
        <f t="shared" si="8"/>
        <v>0</v>
      </c>
      <c r="N24" s="8">
        <f t="shared" si="9"/>
        <v>0</v>
      </c>
      <c r="O24" s="8">
        <f t="shared" si="10"/>
        <v>0</v>
      </c>
      <c r="P24" s="8">
        <f t="shared" si="11"/>
        <v>0</v>
      </c>
      <c r="Q24" s="8">
        <f t="shared" si="12"/>
        <v>1</v>
      </c>
      <c r="R24" s="8">
        <f t="shared" si="13"/>
        <v>0</v>
      </c>
    </row>
    <row r="25" spans="1:18" ht="21" customHeight="1">
      <c r="A25" s="2">
        <v>40878</v>
      </c>
      <c r="B25" s="4">
        <v>8683</v>
      </c>
      <c r="C25" s="5">
        <v>3.266</v>
      </c>
      <c r="D25" s="6">
        <v>12898.5</v>
      </c>
      <c r="E25" s="7">
        <f t="shared" si="0"/>
        <v>9.0691223700606454</v>
      </c>
      <c r="F25" s="7">
        <f t="shared" si="1"/>
        <v>1.1835659945482733</v>
      </c>
      <c r="G25" s="7">
        <f t="shared" si="2"/>
        <v>9.4648663045190613</v>
      </c>
      <c r="H25" s="8">
        <f t="shared" si="3"/>
        <v>0</v>
      </c>
      <c r="I25" s="8">
        <f t="shared" si="4"/>
        <v>0</v>
      </c>
      <c r="J25" s="8">
        <f t="shared" si="5"/>
        <v>0</v>
      </c>
      <c r="K25" s="8">
        <f t="shared" si="6"/>
        <v>0</v>
      </c>
      <c r="L25" s="8">
        <f t="shared" si="7"/>
        <v>0</v>
      </c>
      <c r="M25" s="8">
        <f t="shared" si="8"/>
        <v>0</v>
      </c>
      <c r="N25" s="8">
        <f t="shared" si="9"/>
        <v>0</v>
      </c>
      <c r="O25" s="8">
        <f t="shared" si="10"/>
        <v>0</v>
      </c>
      <c r="P25" s="8">
        <f t="shared" si="11"/>
        <v>0</v>
      </c>
      <c r="Q25" s="8">
        <f t="shared" si="12"/>
        <v>0</v>
      </c>
      <c r="R25" s="8">
        <f t="shared" si="13"/>
        <v>1</v>
      </c>
    </row>
    <row r="26" spans="1:18" ht="21" customHeight="1">
      <c r="A26" s="2">
        <v>40909</v>
      </c>
      <c r="B26" s="4">
        <v>8190</v>
      </c>
      <c r="C26" s="5">
        <v>3.38</v>
      </c>
      <c r="D26" s="6">
        <v>12967.5</v>
      </c>
      <c r="E26" s="7">
        <f t="shared" si="0"/>
        <v>9.0106691768471148</v>
      </c>
      <c r="F26" s="7">
        <f t="shared" si="1"/>
        <v>1.2178757094949273</v>
      </c>
      <c r="G26" s="7">
        <f t="shared" si="2"/>
        <v>9.4702015062255551</v>
      </c>
      <c r="H26" s="8">
        <f t="shared" si="3"/>
        <v>0</v>
      </c>
      <c r="I26" s="8">
        <f t="shared" si="4"/>
        <v>0</v>
      </c>
      <c r="J26" s="8">
        <f t="shared" si="5"/>
        <v>0</v>
      </c>
      <c r="K26" s="8">
        <f t="shared" si="6"/>
        <v>0</v>
      </c>
      <c r="L26" s="8">
        <f t="shared" si="7"/>
        <v>0</v>
      </c>
      <c r="M26" s="8">
        <f t="shared" si="8"/>
        <v>0</v>
      </c>
      <c r="N26" s="8">
        <f t="shared" si="9"/>
        <v>0</v>
      </c>
      <c r="O26" s="8">
        <f t="shared" si="10"/>
        <v>0</v>
      </c>
      <c r="P26" s="8">
        <f t="shared" si="11"/>
        <v>0</v>
      </c>
      <c r="Q26" s="8">
        <f t="shared" si="12"/>
        <v>0</v>
      </c>
      <c r="R26" s="8">
        <f t="shared" si="13"/>
        <v>0</v>
      </c>
    </row>
    <row r="27" spans="1:18" ht="21" customHeight="1">
      <c r="A27" s="2">
        <v>40940</v>
      </c>
      <c r="B27" s="4">
        <v>8598</v>
      </c>
      <c r="C27" s="5">
        <v>3.5790000000000002</v>
      </c>
      <c r="D27" s="6">
        <v>13029.6</v>
      </c>
      <c r="E27" s="7">
        <f t="shared" si="0"/>
        <v>9.0592848970562265</v>
      </c>
      <c r="F27" s="7">
        <f t="shared" si="1"/>
        <v>1.2750834317838888</v>
      </c>
      <c r="G27" s="7">
        <f t="shared" si="2"/>
        <v>9.4749789712593504</v>
      </c>
      <c r="H27" s="8">
        <f t="shared" si="3"/>
        <v>1</v>
      </c>
      <c r="I27" s="8">
        <f t="shared" si="4"/>
        <v>0</v>
      </c>
      <c r="J27" s="8">
        <f t="shared" si="5"/>
        <v>0</v>
      </c>
      <c r="K27" s="8">
        <f t="shared" si="6"/>
        <v>0</v>
      </c>
      <c r="L27" s="8">
        <f t="shared" si="7"/>
        <v>0</v>
      </c>
      <c r="M27" s="8">
        <f t="shared" si="8"/>
        <v>0</v>
      </c>
      <c r="N27" s="8">
        <f t="shared" si="9"/>
        <v>0</v>
      </c>
      <c r="O27" s="8">
        <f t="shared" si="10"/>
        <v>0</v>
      </c>
      <c r="P27" s="8">
        <f t="shared" si="11"/>
        <v>0</v>
      </c>
      <c r="Q27" s="8">
        <f t="shared" si="12"/>
        <v>0</v>
      </c>
      <c r="R27" s="8">
        <f t="shared" si="13"/>
        <v>0</v>
      </c>
    </row>
    <row r="28" spans="1:18" ht="21" customHeight="1">
      <c r="A28" s="2">
        <v>40969</v>
      </c>
      <c r="B28" s="4">
        <v>8582</v>
      </c>
      <c r="C28" s="5">
        <v>3.8519999999999999</v>
      </c>
      <c r="D28" s="6">
        <v>13066.4</v>
      </c>
      <c r="E28" s="7">
        <f t="shared" si="0"/>
        <v>9.0574222655514696</v>
      </c>
      <c r="F28" s="7">
        <f t="shared" si="1"/>
        <v>1.3485924939358791</v>
      </c>
      <c r="G28" s="7">
        <f t="shared" si="2"/>
        <v>9.4777993287389286</v>
      </c>
      <c r="H28" s="8">
        <f t="shared" si="3"/>
        <v>0</v>
      </c>
      <c r="I28" s="8">
        <f t="shared" si="4"/>
        <v>1</v>
      </c>
      <c r="J28" s="8">
        <f t="shared" si="5"/>
        <v>0</v>
      </c>
      <c r="K28" s="8">
        <f t="shared" si="6"/>
        <v>0</v>
      </c>
      <c r="L28" s="8">
        <f t="shared" si="7"/>
        <v>0</v>
      </c>
      <c r="M28" s="8">
        <f t="shared" si="8"/>
        <v>0</v>
      </c>
      <c r="N28" s="8">
        <f t="shared" si="9"/>
        <v>0</v>
      </c>
      <c r="O28" s="8">
        <f t="shared" si="10"/>
        <v>0</v>
      </c>
      <c r="P28" s="8">
        <f t="shared" si="11"/>
        <v>0</v>
      </c>
      <c r="Q28" s="8">
        <f t="shared" si="12"/>
        <v>0</v>
      </c>
      <c r="R28" s="8">
        <f t="shared" si="13"/>
        <v>0</v>
      </c>
    </row>
    <row r="29" spans="1:18" ht="21" customHeight="1">
      <c r="A29" s="2">
        <v>41000</v>
      </c>
      <c r="B29" s="4">
        <v>8741</v>
      </c>
      <c r="C29" s="5">
        <v>3.9</v>
      </c>
      <c r="D29" s="6">
        <v>13116.5</v>
      </c>
      <c r="E29" s="7">
        <f t="shared" si="0"/>
        <v>9.0757798785804873</v>
      </c>
      <c r="F29" s="7">
        <f t="shared" si="1"/>
        <v>1.3609765531356006</v>
      </c>
      <c r="G29" s="7">
        <f t="shared" si="2"/>
        <v>9.4816262586164068</v>
      </c>
      <c r="H29" s="8">
        <f t="shared" si="3"/>
        <v>0</v>
      </c>
      <c r="I29" s="8">
        <f t="shared" si="4"/>
        <v>0</v>
      </c>
      <c r="J29" s="8">
        <f t="shared" si="5"/>
        <v>1</v>
      </c>
      <c r="K29" s="8">
        <f t="shared" si="6"/>
        <v>0</v>
      </c>
      <c r="L29" s="8">
        <f t="shared" si="7"/>
        <v>0</v>
      </c>
      <c r="M29" s="8">
        <f t="shared" si="8"/>
        <v>0</v>
      </c>
      <c r="N29" s="8">
        <f t="shared" si="9"/>
        <v>0</v>
      </c>
      <c r="O29" s="8">
        <f t="shared" si="10"/>
        <v>0</v>
      </c>
      <c r="P29" s="8">
        <f t="shared" si="11"/>
        <v>0</v>
      </c>
      <c r="Q29" s="8">
        <f t="shared" si="12"/>
        <v>0</v>
      </c>
      <c r="R29" s="8">
        <f t="shared" si="13"/>
        <v>0</v>
      </c>
    </row>
    <row r="30" spans="1:18" ht="21" customHeight="1">
      <c r="A30" s="2">
        <v>41030</v>
      </c>
      <c r="B30" s="4">
        <v>8979</v>
      </c>
      <c r="C30" s="5">
        <v>3.7320000000000002</v>
      </c>
      <c r="D30" s="6">
        <v>13112.5</v>
      </c>
      <c r="E30" s="7">
        <f t="shared" si="0"/>
        <v>9.1026437965208089</v>
      </c>
      <c r="F30" s="7">
        <f t="shared" si="1"/>
        <v>1.3169442829850975</v>
      </c>
      <c r="G30" s="7">
        <f t="shared" si="2"/>
        <v>9.4813212527045518</v>
      </c>
      <c r="H30" s="8">
        <f t="shared" si="3"/>
        <v>0</v>
      </c>
      <c r="I30" s="8">
        <f t="shared" si="4"/>
        <v>0</v>
      </c>
      <c r="J30" s="8">
        <f t="shared" si="5"/>
        <v>0</v>
      </c>
      <c r="K30" s="8">
        <f t="shared" si="6"/>
        <v>1</v>
      </c>
      <c r="L30" s="8">
        <f t="shared" si="7"/>
        <v>0</v>
      </c>
      <c r="M30" s="8">
        <f t="shared" si="8"/>
        <v>0</v>
      </c>
      <c r="N30" s="8">
        <f t="shared" si="9"/>
        <v>0</v>
      </c>
      <c r="O30" s="8">
        <f t="shared" si="10"/>
        <v>0</v>
      </c>
      <c r="P30" s="8">
        <f t="shared" si="11"/>
        <v>0</v>
      </c>
      <c r="Q30" s="8">
        <f t="shared" si="12"/>
        <v>0</v>
      </c>
      <c r="R30" s="8">
        <f t="shared" si="13"/>
        <v>0</v>
      </c>
    </row>
    <row r="31" spans="1:18" ht="21" customHeight="1">
      <c r="A31" s="2">
        <v>41061</v>
      </c>
      <c r="B31" s="4">
        <v>8996</v>
      </c>
      <c r="C31" s="5">
        <v>3.5390000000000001</v>
      </c>
      <c r="D31" s="6">
        <v>13097.2</v>
      </c>
      <c r="E31" s="7">
        <f t="shared" si="0"/>
        <v>9.1045353130792055</v>
      </c>
      <c r="F31" s="7">
        <f t="shared" si="1"/>
        <v>1.2638442013633264</v>
      </c>
      <c r="G31" s="7">
        <f t="shared" si="2"/>
        <v>9.480153745885481</v>
      </c>
      <c r="H31" s="8">
        <f t="shared" si="3"/>
        <v>0</v>
      </c>
      <c r="I31" s="8">
        <f t="shared" si="4"/>
        <v>0</v>
      </c>
      <c r="J31" s="8">
        <f t="shared" si="5"/>
        <v>0</v>
      </c>
      <c r="K31" s="8">
        <f t="shared" si="6"/>
        <v>0</v>
      </c>
      <c r="L31" s="8">
        <f t="shared" si="7"/>
        <v>1</v>
      </c>
      <c r="M31" s="8">
        <f t="shared" si="8"/>
        <v>0</v>
      </c>
      <c r="N31" s="8">
        <f t="shared" si="9"/>
        <v>0</v>
      </c>
      <c r="O31" s="8">
        <f t="shared" si="10"/>
        <v>0</v>
      </c>
      <c r="P31" s="8">
        <f t="shared" si="11"/>
        <v>0</v>
      </c>
      <c r="Q31" s="8">
        <f t="shared" si="12"/>
        <v>0</v>
      </c>
      <c r="R31" s="8">
        <f t="shared" si="13"/>
        <v>0</v>
      </c>
    </row>
    <row r="32" spans="1:18" ht="21" customHeight="1">
      <c r="A32" s="2">
        <v>41091</v>
      </c>
      <c r="B32" s="4">
        <v>8810</v>
      </c>
      <c r="C32" s="5">
        <v>3.4390000000000001</v>
      </c>
      <c r="D32" s="6">
        <v>12999.8</v>
      </c>
      <c r="E32" s="7">
        <f t="shared" si="0"/>
        <v>9.0836427189302249</v>
      </c>
      <c r="F32" s="7">
        <f t="shared" si="1"/>
        <v>1.2351807314501291</v>
      </c>
      <c r="G32" s="7">
        <f t="shared" si="2"/>
        <v>9.4726892517099444</v>
      </c>
      <c r="H32" s="8">
        <f t="shared" si="3"/>
        <v>0</v>
      </c>
      <c r="I32" s="8">
        <f t="shared" si="4"/>
        <v>0</v>
      </c>
      <c r="J32" s="8">
        <f t="shared" si="5"/>
        <v>0</v>
      </c>
      <c r="K32" s="8">
        <f t="shared" si="6"/>
        <v>0</v>
      </c>
      <c r="L32" s="8">
        <f t="shared" si="7"/>
        <v>0</v>
      </c>
      <c r="M32" s="8">
        <f t="shared" si="8"/>
        <v>1</v>
      </c>
      <c r="N32" s="8">
        <f t="shared" si="9"/>
        <v>0</v>
      </c>
      <c r="O32" s="8">
        <f t="shared" si="10"/>
        <v>0</v>
      </c>
      <c r="P32" s="8">
        <f t="shared" si="11"/>
        <v>0</v>
      </c>
      <c r="Q32" s="8">
        <f t="shared" si="12"/>
        <v>0</v>
      </c>
      <c r="R32" s="8">
        <f t="shared" si="13"/>
        <v>0</v>
      </c>
    </row>
    <row r="33" spans="1:18" ht="21" customHeight="1">
      <c r="A33" s="2">
        <v>41122</v>
      </c>
      <c r="B33" s="4">
        <v>9154</v>
      </c>
      <c r="C33" s="5">
        <v>3.722</v>
      </c>
      <c r="D33" s="6">
        <v>12961.6</v>
      </c>
      <c r="E33" s="7">
        <f t="shared" si="0"/>
        <v>9.1219462212135873</v>
      </c>
      <c r="F33" s="7">
        <f t="shared" si="1"/>
        <v>1.314261158220059</v>
      </c>
      <c r="G33" s="7">
        <f t="shared" si="2"/>
        <v>9.4697464190762268</v>
      </c>
      <c r="H33" s="8">
        <f t="shared" si="3"/>
        <v>0</v>
      </c>
      <c r="I33" s="8">
        <f t="shared" si="4"/>
        <v>0</v>
      </c>
      <c r="J33" s="8">
        <f t="shared" si="5"/>
        <v>0</v>
      </c>
      <c r="K33" s="8">
        <f t="shared" si="6"/>
        <v>0</v>
      </c>
      <c r="L33" s="8">
        <f t="shared" si="7"/>
        <v>0</v>
      </c>
      <c r="M33" s="8">
        <f t="shared" si="8"/>
        <v>0</v>
      </c>
      <c r="N33" s="8">
        <f t="shared" si="9"/>
        <v>1</v>
      </c>
      <c r="O33" s="8">
        <f t="shared" si="10"/>
        <v>0</v>
      </c>
      <c r="P33" s="8">
        <f t="shared" si="11"/>
        <v>0</v>
      </c>
      <c r="Q33" s="8">
        <f t="shared" si="12"/>
        <v>0</v>
      </c>
      <c r="R33" s="8">
        <f t="shared" si="13"/>
        <v>0</v>
      </c>
    </row>
    <row r="34" spans="1:18" ht="21" customHeight="1">
      <c r="A34" s="2">
        <v>41153</v>
      </c>
      <c r="B34" s="4">
        <v>8561</v>
      </c>
      <c r="C34" s="5">
        <v>3.8490000000000002</v>
      </c>
      <c r="D34" s="6">
        <v>13053.1</v>
      </c>
      <c r="E34" s="7">
        <f t="shared" ref="E34:E65" si="14">LN(B34)</f>
        <v>9.0549722847424849</v>
      </c>
      <c r="F34" s="7">
        <f t="shared" ref="F34:F65" si="15">LN(C34)</f>
        <v>1.3478133743016092</v>
      </c>
      <c r="G34" s="7">
        <f t="shared" ref="G34:G65" si="16">LN(D34)</f>
        <v>9.4767809324335257</v>
      </c>
      <c r="H34" s="8">
        <f t="shared" ref="H34:H65" si="17">IF(MONTH($A34)=2,1,0)</f>
        <v>0</v>
      </c>
      <c r="I34" s="8">
        <f t="shared" ref="I34:I65" si="18">IF(MONTH($A34)=3,1,0)</f>
        <v>0</v>
      </c>
      <c r="J34" s="8">
        <f t="shared" ref="J34:J65" si="19">IF(MONTH($A34)=4,1,0)</f>
        <v>0</v>
      </c>
      <c r="K34" s="8">
        <f t="shared" ref="K34:K65" si="20">IF(MONTH($A34)=5,1,0)</f>
        <v>0</v>
      </c>
      <c r="L34" s="8">
        <f t="shared" ref="L34:L65" si="21">IF(MONTH($A34)=6,1,0)</f>
        <v>0</v>
      </c>
      <c r="M34" s="8">
        <f t="shared" ref="M34:M65" si="22">IF(MONTH($A34)=7,1,0)</f>
        <v>0</v>
      </c>
      <c r="N34" s="8">
        <f t="shared" ref="N34:N65" si="23">IF(MONTH($A34)=8,1,0)</f>
        <v>0</v>
      </c>
      <c r="O34" s="8">
        <f t="shared" ref="O34:O65" si="24">IF(MONTH($A34)=9,1,0)</f>
        <v>1</v>
      </c>
      <c r="P34" s="8">
        <f t="shared" ref="P34:P65" si="25">IF(MONTH($A34)=10,1,0)</f>
        <v>0</v>
      </c>
      <c r="Q34" s="8">
        <f t="shared" ref="Q34:Q65" si="26">IF(MONTH($A34)=11,1,0)</f>
        <v>0</v>
      </c>
      <c r="R34" s="8">
        <f t="shared" ref="R34:R65" si="27">IF(MONTH($A34)=12,1,0)</f>
        <v>0</v>
      </c>
    </row>
    <row r="35" spans="1:18" ht="21" customHeight="1">
      <c r="A35" s="2">
        <v>41183</v>
      </c>
      <c r="B35" s="4">
        <v>8701</v>
      </c>
      <c r="C35" s="5">
        <v>3.746</v>
      </c>
      <c r="D35" s="6">
        <v>13142</v>
      </c>
      <c r="E35" s="7">
        <f t="shared" si="14"/>
        <v>9.0711932405660249</v>
      </c>
      <c r="F35" s="7">
        <f t="shared" si="15"/>
        <v>1.3206886040218968</v>
      </c>
      <c r="G35" s="7">
        <f t="shared" si="16"/>
        <v>9.4835684874578128</v>
      </c>
      <c r="H35" s="8">
        <f t="shared" si="17"/>
        <v>0</v>
      </c>
      <c r="I35" s="8">
        <f t="shared" si="18"/>
        <v>0</v>
      </c>
      <c r="J35" s="8">
        <f t="shared" si="19"/>
        <v>0</v>
      </c>
      <c r="K35" s="8">
        <f t="shared" si="20"/>
        <v>0</v>
      </c>
      <c r="L35" s="8">
        <f t="shared" si="21"/>
        <v>0</v>
      </c>
      <c r="M35" s="8">
        <f t="shared" si="22"/>
        <v>0</v>
      </c>
      <c r="N35" s="8">
        <f t="shared" si="23"/>
        <v>0</v>
      </c>
      <c r="O35" s="8">
        <f t="shared" si="24"/>
        <v>0</v>
      </c>
      <c r="P35" s="8">
        <f t="shared" si="25"/>
        <v>1</v>
      </c>
      <c r="Q35" s="8">
        <f t="shared" si="26"/>
        <v>0</v>
      </c>
      <c r="R35" s="8">
        <f t="shared" si="27"/>
        <v>0</v>
      </c>
    </row>
    <row r="36" spans="1:18" ht="21" customHeight="1">
      <c r="A36" s="2">
        <v>41214</v>
      </c>
      <c r="B36" s="4">
        <v>8483</v>
      </c>
      <c r="C36" s="5">
        <v>3.452</v>
      </c>
      <c r="D36" s="6">
        <v>13315.7</v>
      </c>
      <c r="E36" s="7">
        <f t="shared" si="14"/>
        <v>9.045819439807735</v>
      </c>
      <c r="F36" s="7">
        <f t="shared" si="15"/>
        <v>1.2389537732211815</v>
      </c>
      <c r="G36" s="7">
        <f t="shared" si="16"/>
        <v>9.4966990691530526</v>
      </c>
      <c r="H36" s="8">
        <f t="shared" si="17"/>
        <v>0</v>
      </c>
      <c r="I36" s="8">
        <f t="shared" si="18"/>
        <v>0</v>
      </c>
      <c r="J36" s="8">
        <f t="shared" si="19"/>
        <v>0</v>
      </c>
      <c r="K36" s="8">
        <f t="shared" si="20"/>
        <v>0</v>
      </c>
      <c r="L36" s="8">
        <f t="shared" si="21"/>
        <v>0</v>
      </c>
      <c r="M36" s="8">
        <f t="shared" si="22"/>
        <v>0</v>
      </c>
      <c r="N36" s="8">
        <f t="shared" si="23"/>
        <v>0</v>
      </c>
      <c r="O36" s="8">
        <f t="shared" si="24"/>
        <v>0</v>
      </c>
      <c r="P36" s="8">
        <f t="shared" si="25"/>
        <v>0</v>
      </c>
      <c r="Q36" s="8">
        <f t="shared" si="26"/>
        <v>1</v>
      </c>
      <c r="R36" s="8">
        <f t="shared" si="27"/>
        <v>0</v>
      </c>
    </row>
    <row r="37" spans="1:18" ht="21" customHeight="1">
      <c r="A37" s="2">
        <v>41244</v>
      </c>
      <c r="B37" s="4">
        <v>8389</v>
      </c>
      <c r="C37" s="5">
        <v>3.31</v>
      </c>
      <c r="D37" s="6">
        <v>13642.7</v>
      </c>
      <c r="E37" s="7">
        <f t="shared" si="14"/>
        <v>9.0346766028462948</v>
      </c>
      <c r="F37" s="7">
        <f t="shared" si="15"/>
        <v>1.1969481893889715</v>
      </c>
      <c r="G37" s="7">
        <f t="shared" si="16"/>
        <v>9.5209598590225646</v>
      </c>
      <c r="H37" s="8">
        <f t="shared" si="17"/>
        <v>0</v>
      </c>
      <c r="I37" s="8">
        <f t="shared" si="18"/>
        <v>0</v>
      </c>
      <c r="J37" s="8">
        <f t="shared" si="19"/>
        <v>0</v>
      </c>
      <c r="K37" s="8">
        <f t="shared" si="20"/>
        <v>0</v>
      </c>
      <c r="L37" s="8">
        <f t="shared" si="21"/>
        <v>0</v>
      </c>
      <c r="M37" s="8">
        <f t="shared" si="22"/>
        <v>0</v>
      </c>
      <c r="N37" s="8">
        <f t="shared" si="23"/>
        <v>0</v>
      </c>
      <c r="O37" s="8">
        <f t="shared" si="24"/>
        <v>0</v>
      </c>
      <c r="P37" s="8">
        <f t="shared" si="25"/>
        <v>0</v>
      </c>
      <c r="Q37" s="8">
        <f t="shared" si="26"/>
        <v>0</v>
      </c>
      <c r="R37" s="8">
        <f t="shared" si="27"/>
        <v>1</v>
      </c>
    </row>
    <row r="38" spans="1:18" ht="21" customHeight="1">
      <c r="A38" s="2">
        <v>41275</v>
      </c>
      <c r="B38" s="4">
        <v>8331</v>
      </c>
      <c r="C38" s="5">
        <v>3.319</v>
      </c>
      <c r="D38" s="6">
        <v>12845.5</v>
      </c>
      <c r="E38" s="7">
        <f t="shared" si="14"/>
        <v>9.0277387759749086</v>
      </c>
      <c r="F38" s="7">
        <f t="shared" si="15"/>
        <v>1.1996635327378375</v>
      </c>
      <c r="G38" s="7">
        <f t="shared" si="16"/>
        <v>9.4607488344384052</v>
      </c>
      <c r="H38" s="8">
        <f t="shared" si="17"/>
        <v>0</v>
      </c>
      <c r="I38" s="8">
        <f t="shared" si="18"/>
        <v>0</v>
      </c>
      <c r="J38" s="8">
        <f t="shared" si="19"/>
        <v>0</v>
      </c>
      <c r="K38" s="8">
        <f t="shared" si="20"/>
        <v>0</v>
      </c>
      <c r="L38" s="8">
        <f t="shared" si="21"/>
        <v>0</v>
      </c>
      <c r="M38" s="8">
        <f t="shared" si="22"/>
        <v>0</v>
      </c>
      <c r="N38" s="8">
        <f t="shared" si="23"/>
        <v>0</v>
      </c>
      <c r="O38" s="8">
        <f t="shared" si="24"/>
        <v>0</v>
      </c>
      <c r="P38" s="8">
        <f t="shared" si="25"/>
        <v>0</v>
      </c>
      <c r="Q38" s="8">
        <f t="shared" si="26"/>
        <v>0</v>
      </c>
      <c r="R38" s="8">
        <f t="shared" si="27"/>
        <v>0</v>
      </c>
    </row>
    <row r="39" spans="1:18" ht="21" customHeight="1">
      <c r="A39" s="2">
        <v>41306</v>
      </c>
      <c r="B39" s="4">
        <v>8395</v>
      </c>
      <c r="C39" s="5">
        <v>3.67</v>
      </c>
      <c r="D39" s="6">
        <v>12813.9</v>
      </c>
      <c r="E39" s="7">
        <f t="shared" si="14"/>
        <v>9.035391569511642</v>
      </c>
      <c r="F39" s="7">
        <f t="shared" si="15"/>
        <v>1.3001916620664788</v>
      </c>
      <c r="G39" s="7">
        <f t="shared" si="16"/>
        <v>9.458285798204102</v>
      </c>
      <c r="H39" s="8">
        <f t="shared" si="17"/>
        <v>1</v>
      </c>
      <c r="I39" s="8">
        <f t="shared" si="18"/>
        <v>0</v>
      </c>
      <c r="J39" s="8">
        <f t="shared" si="19"/>
        <v>0</v>
      </c>
      <c r="K39" s="8">
        <f t="shared" si="20"/>
        <v>0</v>
      </c>
      <c r="L39" s="8">
        <f t="shared" si="21"/>
        <v>0</v>
      </c>
      <c r="M39" s="8">
        <f t="shared" si="22"/>
        <v>0</v>
      </c>
      <c r="N39" s="8">
        <f t="shared" si="23"/>
        <v>0</v>
      </c>
      <c r="O39" s="8">
        <f t="shared" si="24"/>
        <v>0</v>
      </c>
      <c r="P39" s="8">
        <f t="shared" si="25"/>
        <v>0</v>
      </c>
      <c r="Q39" s="8">
        <f t="shared" si="26"/>
        <v>0</v>
      </c>
      <c r="R39" s="8">
        <f t="shared" si="27"/>
        <v>0</v>
      </c>
    </row>
    <row r="40" spans="1:18" ht="21" customHeight="1">
      <c r="A40" s="2">
        <v>41334</v>
      </c>
      <c r="B40" s="4">
        <v>8641</v>
      </c>
      <c r="C40" s="5">
        <v>3.7109999999999999</v>
      </c>
      <c r="D40" s="6">
        <v>12852.1</v>
      </c>
      <c r="E40" s="7">
        <f t="shared" si="14"/>
        <v>9.0642735958413994</v>
      </c>
      <c r="F40" s="7">
        <f t="shared" si="15"/>
        <v>1.3113013820784605</v>
      </c>
      <c r="G40" s="7">
        <f t="shared" si="16"/>
        <v>9.4612625010956126</v>
      </c>
      <c r="H40" s="8">
        <f t="shared" si="17"/>
        <v>0</v>
      </c>
      <c r="I40" s="8">
        <f t="shared" si="18"/>
        <v>1</v>
      </c>
      <c r="J40" s="8">
        <f t="shared" si="19"/>
        <v>0</v>
      </c>
      <c r="K40" s="8">
        <f t="shared" si="20"/>
        <v>0</v>
      </c>
      <c r="L40" s="8">
        <f t="shared" si="21"/>
        <v>0</v>
      </c>
      <c r="M40" s="8">
        <f t="shared" si="22"/>
        <v>0</v>
      </c>
      <c r="N40" s="8">
        <f t="shared" si="23"/>
        <v>0</v>
      </c>
      <c r="O40" s="8">
        <f t="shared" si="24"/>
        <v>0</v>
      </c>
      <c r="P40" s="8">
        <f t="shared" si="25"/>
        <v>0</v>
      </c>
      <c r="Q40" s="8">
        <f t="shared" si="26"/>
        <v>0</v>
      </c>
      <c r="R40" s="8">
        <f t="shared" si="27"/>
        <v>0</v>
      </c>
    </row>
    <row r="41" spans="1:18" ht="21" customHeight="1">
      <c r="A41" s="2">
        <v>41365</v>
      </c>
      <c r="B41" s="4">
        <v>8855</v>
      </c>
      <c r="C41" s="5">
        <v>3.57</v>
      </c>
      <c r="D41" s="6">
        <v>12893.4</v>
      </c>
      <c r="E41" s="7">
        <f t="shared" si="14"/>
        <v>9.0887375502169334</v>
      </c>
      <c r="F41" s="7">
        <f t="shared" si="15"/>
        <v>1.2725655957915476</v>
      </c>
      <c r="G41" s="7">
        <f t="shared" si="16"/>
        <v>9.4644708315165698</v>
      </c>
      <c r="H41" s="8">
        <f t="shared" si="17"/>
        <v>0</v>
      </c>
      <c r="I41" s="8">
        <f t="shared" si="18"/>
        <v>0</v>
      </c>
      <c r="J41" s="8">
        <f t="shared" si="19"/>
        <v>1</v>
      </c>
      <c r="K41" s="8">
        <f t="shared" si="20"/>
        <v>0</v>
      </c>
      <c r="L41" s="8">
        <f t="shared" si="21"/>
        <v>0</v>
      </c>
      <c r="M41" s="8">
        <f t="shared" si="22"/>
        <v>0</v>
      </c>
      <c r="N41" s="8">
        <f t="shared" si="23"/>
        <v>0</v>
      </c>
      <c r="O41" s="8">
        <f t="shared" si="24"/>
        <v>0</v>
      </c>
      <c r="P41" s="8">
        <f t="shared" si="25"/>
        <v>0</v>
      </c>
      <c r="Q41" s="8">
        <f t="shared" si="26"/>
        <v>0</v>
      </c>
      <c r="R41" s="8">
        <f t="shared" si="27"/>
        <v>0</v>
      </c>
    </row>
    <row r="42" spans="1:18" ht="21" customHeight="1">
      <c r="A42" s="2">
        <v>41395</v>
      </c>
      <c r="B42" s="4">
        <v>9033</v>
      </c>
      <c r="C42" s="5">
        <v>3.6150000000000002</v>
      </c>
      <c r="D42" s="6">
        <v>12954.2</v>
      </c>
      <c r="E42" s="7">
        <f t="shared" si="14"/>
        <v>9.1086398171498431</v>
      </c>
      <c r="F42" s="7">
        <f t="shared" si="15"/>
        <v>1.285091855610728</v>
      </c>
      <c r="G42" s="7">
        <f t="shared" si="16"/>
        <v>9.4691753388702438</v>
      </c>
      <c r="H42" s="8">
        <f t="shared" si="17"/>
        <v>0</v>
      </c>
      <c r="I42" s="8">
        <f t="shared" si="18"/>
        <v>0</v>
      </c>
      <c r="J42" s="8">
        <f t="shared" si="19"/>
        <v>0</v>
      </c>
      <c r="K42" s="8">
        <f t="shared" si="20"/>
        <v>1</v>
      </c>
      <c r="L42" s="8">
        <f t="shared" si="21"/>
        <v>0</v>
      </c>
      <c r="M42" s="8">
        <f t="shared" si="22"/>
        <v>0</v>
      </c>
      <c r="N42" s="8">
        <f t="shared" si="23"/>
        <v>0</v>
      </c>
      <c r="O42" s="8">
        <f t="shared" si="24"/>
        <v>0</v>
      </c>
      <c r="P42" s="8">
        <f t="shared" si="25"/>
        <v>0</v>
      </c>
      <c r="Q42" s="8">
        <f t="shared" si="26"/>
        <v>0</v>
      </c>
      <c r="R42" s="8">
        <f t="shared" si="27"/>
        <v>0</v>
      </c>
    </row>
    <row r="43" spans="1:18" ht="21" customHeight="1">
      <c r="A43" s="2">
        <v>41426</v>
      </c>
      <c r="B43" s="4">
        <v>9078</v>
      </c>
      <c r="C43" s="5">
        <v>3.6259999999999999</v>
      </c>
      <c r="D43" s="6">
        <v>12955.7</v>
      </c>
      <c r="E43" s="7">
        <f t="shared" si="14"/>
        <v>9.1136091830164112</v>
      </c>
      <c r="F43" s="7">
        <f t="shared" si="15"/>
        <v>1.2881301123326592</v>
      </c>
      <c r="G43" s="7">
        <f t="shared" si="16"/>
        <v>9.4692911247282883</v>
      </c>
      <c r="H43" s="8">
        <f t="shared" si="17"/>
        <v>0</v>
      </c>
      <c r="I43" s="8">
        <f t="shared" si="18"/>
        <v>0</v>
      </c>
      <c r="J43" s="8">
        <f t="shared" si="19"/>
        <v>0</v>
      </c>
      <c r="K43" s="8">
        <f t="shared" si="20"/>
        <v>0</v>
      </c>
      <c r="L43" s="8">
        <f t="shared" si="21"/>
        <v>1</v>
      </c>
      <c r="M43" s="8">
        <f t="shared" si="22"/>
        <v>0</v>
      </c>
      <c r="N43" s="8">
        <f t="shared" si="23"/>
        <v>0</v>
      </c>
      <c r="O43" s="8">
        <f t="shared" si="24"/>
        <v>0</v>
      </c>
      <c r="P43" s="8">
        <f t="shared" si="25"/>
        <v>0</v>
      </c>
      <c r="Q43" s="8">
        <f t="shared" si="26"/>
        <v>0</v>
      </c>
      <c r="R43" s="8">
        <f t="shared" si="27"/>
        <v>0</v>
      </c>
    </row>
    <row r="44" spans="1:18" ht="21" customHeight="1">
      <c r="A44" s="2">
        <v>41456</v>
      </c>
      <c r="B44" s="4">
        <v>9146</v>
      </c>
      <c r="C44" s="5">
        <v>3.5910000000000002</v>
      </c>
      <c r="D44" s="6">
        <v>12941.8</v>
      </c>
      <c r="E44" s="7">
        <f t="shared" si="14"/>
        <v>9.1210719042180006</v>
      </c>
      <c r="F44" s="7">
        <f t="shared" si="15"/>
        <v>1.2784307152439458</v>
      </c>
      <c r="G44" s="7">
        <f t="shared" si="16"/>
        <v>9.468217661935757</v>
      </c>
      <c r="H44" s="8">
        <f t="shared" si="17"/>
        <v>0</v>
      </c>
      <c r="I44" s="8">
        <f t="shared" si="18"/>
        <v>0</v>
      </c>
      <c r="J44" s="8">
        <f t="shared" si="19"/>
        <v>0</v>
      </c>
      <c r="K44" s="8">
        <f t="shared" si="20"/>
        <v>0</v>
      </c>
      <c r="L44" s="8">
        <f t="shared" si="21"/>
        <v>0</v>
      </c>
      <c r="M44" s="8">
        <f t="shared" si="22"/>
        <v>1</v>
      </c>
      <c r="N44" s="8">
        <f t="shared" si="23"/>
        <v>0</v>
      </c>
      <c r="O44" s="8">
        <f t="shared" si="24"/>
        <v>0</v>
      </c>
      <c r="P44" s="8">
        <f t="shared" si="25"/>
        <v>0</v>
      </c>
      <c r="Q44" s="8">
        <f t="shared" si="26"/>
        <v>0</v>
      </c>
      <c r="R44" s="8">
        <f t="shared" si="27"/>
        <v>0</v>
      </c>
    </row>
    <row r="45" spans="1:18" ht="21" customHeight="1">
      <c r="A45" s="2">
        <v>41487</v>
      </c>
      <c r="B45" s="4">
        <v>9124</v>
      </c>
      <c r="C45" s="5">
        <v>3.5739999999999998</v>
      </c>
      <c r="D45" s="6">
        <v>12969.6</v>
      </c>
      <c r="E45" s="7">
        <f t="shared" si="14"/>
        <v>9.1186635834042793</v>
      </c>
      <c r="F45" s="7">
        <f t="shared" si="15"/>
        <v>1.2736854167372362</v>
      </c>
      <c r="G45" s="7">
        <f t="shared" si="16"/>
        <v>9.4703634364339901</v>
      </c>
      <c r="H45" s="8">
        <f t="shared" si="17"/>
        <v>0</v>
      </c>
      <c r="I45" s="8">
        <f t="shared" si="18"/>
        <v>0</v>
      </c>
      <c r="J45" s="8">
        <f t="shared" si="19"/>
        <v>0</v>
      </c>
      <c r="K45" s="8">
        <f t="shared" si="20"/>
        <v>0</v>
      </c>
      <c r="L45" s="8">
        <f t="shared" si="21"/>
        <v>0</v>
      </c>
      <c r="M45" s="8">
        <f t="shared" si="22"/>
        <v>0</v>
      </c>
      <c r="N45" s="8">
        <f t="shared" si="23"/>
        <v>1</v>
      </c>
      <c r="O45" s="8">
        <f t="shared" si="24"/>
        <v>0</v>
      </c>
      <c r="P45" s="8">
        <f t="shared" si="25"/>
        <v>0</v>
      </c>
      <c r="Q45" s="8">
        <f t="shared" si="26"/>
        <v>0</v>
      </c>
      <c r="R45" s="8">
        <f t="shared" si="27"/>
        <v>0</v>
      </c>
    </row>
    <row r="46" spans="1:18" ht="21" customHeight="1">
      <c r="A46" s="2">
        <v>41518</v>
      </c>
      <c r="B46" s="4">
        <v>8946</v>
      </c>
      <c r="C46" s="5">
        <v>3.532</v>
      </c>
      <c r="D46" s="6">
        <v>13027.5</v>
      </c>
      <c r="E46" s="7">
        <f t="shared" si="14"/>
        <v>9.0989617839927934</v>
      </c>
      <c r="F46" s="7">
        <f t="shared" si="15"/>
        <v>1.2618642827417137</v>
      </c>
      <c r="G46" s="7">
        <f t="shared" si="16"/>
        <v>9.4748177867833689</v>
      </c>
      <c r="H46" s="8">
        <f t="shared" si="17"/>
        <v>0</v>
      </c>
      <c r="I46" s="8">
        <f t="shared" si="18"/>
        <v>0</v>
      </c>
      <c r="J46" s="8">
        <f t="shared" si="19"/>
        <v>0</v>
      </c>
      <c r="K46" s="8">
        <f t="shared" si="20"/>
        <v>0</v>
      </c>
      <c r="L46" s="8">
        <f t="shared" si="21"/>
        <v>0</v>
      </c>
      <c r="M46" s="8">
        <f t="shared" si="22"/>
        <v>0</v>
      </c>
      <c r="N46" s="8">
        <f t="shared" si="23"/>
        <v>0</v>
      </c>
      <c r="O46" s="8">
        <f t="shared" si="24"/>
        <v>1</v>
      </c>
      <c r="P46" s="8">
        <f t="shared" si="25"/>
        <v>0</v>
      </c>
      <c r="Q46" s="8">
        <f t="shared" si="26"/>
        <v>0</v>
      </c>
      <c r="R46" s="8">
        <f t="shared" si="27"/>
        <v>0</v>
      </c>
    </row>
    <row r="47" spans="1:18" ht="21" customHeight="1">
      <c r="A47" s="2">
        <v>41548</v>
      </c>
      <c r="B47" s="4">
        <v>8944</v>
      </c>
      <c r="C47" s="5">
        <v>3.3439999999999999</v>
      </c>
      <c r="D47" s="6">
        <v>12974.6</v>
      </c>
      <c r="E47" s="7">
        <f t="shared" si="14"/>
        <v>9.0987381953948798</v>
      </c>
      <c r="F47" s="7">
        <f t="shared" si="15"/>
        <v>1.207167695222455</v>
      </c>
      <c r="G47" s="7">
        <f t="shared" si="16"/>
        <v>9.4707488790425032</v>
      </c>
      <c r="H47" s="8">
        <f t="shared" si="17"/>
        <v>0</v>
      </c>
      <c r="I47" s="8">
        <f t="shared" si="18"/>
        <v>0</v>
      </c>
      <c r="J47" s="8">
        <f t="shared" si="19"/>
        <v>0</v>
      </c>
      <c r="K47" s="8">
        <f t="shared" si="20"/>
        <v>0</v>
      </c>
      <c r="L47" s="8">
        <f t="shared" si="21"/>
        <v>0</v>
      </c>
      <c r="M47" s="8">
        <f t="shared" si="22"/>
        <v>0</v>
      </c>
      <c r="N47" s="8">
        <f t="shared" si="23"/>
        <v>0</v>
      </c>
      <c r="O47" s="8">
        <f t="shared" si="24"/>
        <v>0</v>
      </c>
      <c r="P47" s="8">
        <f t="shared" si="25"/>
        <v>1</v>
      </c>
      <c r="Q47" s="8">
        <f t="shared" si="26"/>
        <v>0</v>
      </c>
      <c r="R47" s="8">
        <f t="shared" si="27"/>
        <v>0</v>
      </c>
    </row>
    <row r="48" spans="1:18" ht="21" customHeight="1">
      <c r="A48" s="2">
        <v>41579</v>
      </c>
      <c r="B48" s="4">
        <v>8923</v>
      </c>
      <c r="C48" s="5">
        <v>3.2429999999999999</v>
      </c>
      <c r="D48" s="6">
        <v>12998.9</v>
      </c>
      <c r="E48" s="7">
        <f t="shared" si="14"/>
        <v>9.0963874919001508</v>
      </c>
      <c r="F48" s="7">
        <f t="shared" si="15"/>
        <v>1.1764988273251809</v>
      </c>
      <c r="G48" s="7">
        <f t="shared" si="16"/>
        <v>9.4726200174789756</v>
      </c>
      <c r="H48" s="8">
        <f t="shared" si="17"/>
        <v>0</v>
      </c>
      <c r="I48" s="8">
        <f t="shared" si="18"/>
        <v>0</v>
      </c>
      <c r="J48" s="8">
        <f t="shared" si="19"/>
        <v>0</v>
      </c>
      <c r="K48" s="8">
        <f t="shared" si="20"/>
        <v>0</v>
      </c>
      <c r="L48" s="8">
        <f t="shared" si="21"/>
        <v>0</v>
      </c>
      <c r="M48" s="8">
        <f t="shared" si="22"/>
        <v>0</v>
      </c>
      <c r="N48" s="8">
        <f t="shared" si="23"/>
        <v>0</v>
      </c>
      <c r="O48" s="8">
        <f t="shared" si="24"/>
        <v>0</v>
      </c>
      <c r="P48" s="8">
        <f t="shared" si="25"/>
        <v>0</v>
      </c>
      <c r="Q48" s="8">
        <f t="shared" si="26"/>
        <v>1</v>
      </c>
      <c r="R48" s="8">
        <f t="shared" si="27"/>
        <v>0</v>
      </c>
    </row>
    <row r="49" spans="1:18" ht="21" customHeight="1">
      <c r="A49" s="2">
        <v>41609</v>
      </c>
      <c r="B49" s="4">
        <v>8670</v>
      </c>
      <c r="C49" s="5">
        <v>3.2759999999999998</v>
      </c>
      <c r="D49" s="6">
        <v>13019.1</v>
      </c>
      <c r="E49" s="7">
        <f t="shared" si="14"/>
        <v>9.0676240697745882</v>
      </c>
      <c r="F49" s="7">
        <f t="shared" si="15"/>
        <v>1.1866231659908228</v>
      </c>
      <c r="G49" s="7">
        <f t="shared" si="16"/>
        <v>9.4741727889493941</v>
      </c>
      <c r="H49" s="8">
        <f t="shared" si="17"/>
        <v>0</v>
      </c>
      <c r="I49" s="8">
        <f t="shared" si="18"/>
        <v>0</v>
      </c>
      <c r="J49" s="8">
        <f t="shared" si="19"/>
        <v>0</v>
      </c>
      <c r="K49" s="8">
        <f t="shared" si="20"/>
        <v>0</v>
      </c>
      <c r="L49" s="8">
        <f t="shared" si="21"/>
        <v>0</v>
      </c>
      <c r="M49" s="8">
        <f t="shared" si="22"/>
        <v>0</v>
      </c>
      <c r="N49" s="8">
        <f t="shared" si="23"/>
        <v>0</v>
      </c>
      <c r="O49" s="8">
        <f t="shared" si="24"/>
        <v>0</v>
      </c>
      <c r="P49" s="8">
        <f t="shared" si="25"/>
        <v>0</v>
      </c>
      <c r="Q49" s="8">
        <f t="shared" si="26"/>
        <v>0</v>
      </c>
      <c r="R49" s="8">
        <f t="shared" si="27"/>
        <v>1</v>
      </c>
    </row>
    <row r="50" spans="1:18" ht="21" customHeight="1">
      <c r="A50" s="2">
        <v>41640</v>
      </c>
      <c r="B50" s="4">
        <v>8273</v>
      </c>
      <c r="C50" s="5">
        <v>3.3130000000000002</v>
      </c>
      <c r="D50" s="6">
        <v>13079.5</v>
      </c>
      <c r="E50" s="7">
        <f t="shared" si="14"/>
        <v>9.0207524791901825</v>
      </c>
      <c r="F50" s="7">
        <f t="shared" si="15"/>
        <v>1.1978541233177589</v>
      </c>
      <c r="G50" s="7">
        <f t="shared" si="16"/>
        <v>9.4788013979808525</v>
      </c>
      <c r="H50" s="8">
        <f t="shared" si="17"/>
        <v>0</v>
      </c>
      <c r="I50" s="8">
        <f t="shared" si="18"/>
        <v>0</v>
      </c>
      <c r="J50" s="8">
        <f t="shared" si="19"/>
        <v>0</v>
      </c>
      <c r="K50" s="8">
        <f t="shared" si="20"/>
        <v>0</v>
      </c>
      <c r="L50" s="8">
        <f t="shared" si="21"/>
        <v>0</v>
      </c>
      <c r="M50" s="8">
        <f t="shared" si="22"/>
        <v>0</v>
      </c>
      <c r="N50" s="8">
        <f t="shared" si="23"/>
        <v>0</v>
      </c>
      <c r="O50" s="8">
        <f t="shared" si="24"/>
        <v>0</v>
      </c>
      <c r="P50" s="8">
        <f t="shared" si="25"/>
        <v>0</v>
      </c>
      <c r="Q50" s="8">
        <f t="shared" si="26"/>
        <v>0</v>
      </c>
      <c r="R50" s="8">
        <f t="shared" si="27"/>
        <v>0</v>
      </c>
    </row>
    <row r="51" spans="1:18" ht="21" customHeight="1">
      <c r="A51" s="2">
        <v>41671</v>
      </c>
      <c r="B51" s="4">
        <v>8647</v>
      </c>
      <c r="C51" s="5">
        <v>3.3559999999999999</v>
      </c>
      <c r="D51" s="6">
        <v>13148</v>
      </c>
      <c r="E51" s="7">
        <f t="shared" si="14"/>
        <v>9.0649677189604301</v>
      </c>
      <c r="F51" s="7">
        <f t="shared" si="15"/>
        <v>1.2107497886049596</v>
      </c>
      <c r="G51" s="7">
        <f t="shared" si="16"/>
        <v>9.4840249347841095</v>
      </c>
      <c r="H51" s="8">
        <f t="shared" si="17"/>
        <v>1</v>
      </c>
      <c r="I51" s="8">
        <f t="shared" si="18"/>
        <v>0</v>
      </c>
      <c r="J51" s="8">
        <f t="shared" si="19"/>
        <v>0</v>
      </c>
      <c r="K51" s="8">
        <f t="shared" si="20"/>
        <v>0</v>
      </c>
      <c r="L51" s="8">
        <f t="shared" si="21"/>
        <v>0</v>
      </c>
      <c r="M51" s="8">
        <f t="shared" si="22"/>
        <v>0</v>
      </c>
      <c r="N51" s="8">
        <f t="shared" si="23"/>
        <v>0</v>
      </c>
      <c r="O51" s="8">
        <f t="shared" si="24"/>
        <v>0</v>
      </c>
      <c r="P51" s="8">
        <f t="shared" si="25"/>
        <v>0</v>
      </c>
      <c r="Q51" s="8">
        <f t="shared" si="26"/>
        <v>0</v>
      </c>
      <c r="R51" s="8">
        <f t="shared" si="27"/>
        <v>0</v>
      </c>
    </row>
    <row r="52" spans="1:18" ht="21" customHeight="1">
      <c r="A52" s="2">
        <v>41699</v>
      </c>
      <c r="B52" s="4">
        <v>8697</v>
      </c>
      <c r="C52" s="5">
        <v>3.5329999999999999</v>
      </c>
      <c r="D52" s="6">
        <v>13219.9</v>
      </c>
      <c r="E52" s="7">
        <f t="shared" si="14"/>
        <v>9.070733417589766</v>
      </c>
      <c r="F52" s="7">
        <f t="shared" si="15"/>
        <v>1.2621473683770081</v>
      </c>
      <c r="G52" s="7">
        <f t="shared" si="16"/>
        <v>9.4894785490805482</v>
      </c>
      <c r="H52" s="8">
        <f t="shared" si="17"/>
        <v>0</v>
      </c>
      <c r="I52" s="8">
        <f t="shared" si="18"/>
        <v>1</v>
      </c>
      <c r="J52" s="8">
        <f t="shared" si="19"/>
        <v>0</v>
      </c>
      <c r="K52" s="8">
        <f t="shared" si="20"/>
        <v>0</v>
      </c>
      <c r="L52" s="8">
        <f t="shared" si="21"/>
        <v>0</v>
      </c>
      <c r="M52" s="8">
        <f t="shared" si="22"/>
        <v>0</v>
      </c>
      <c r="N52" s="8">
        <f t="shared" si="23"/>
        <v>0</v>
      </c>
      <c r="O52" s="8">
        <f t="shared" si="24"/>
        <v>0</v>
      </c>
      <c r="P52" s="8">
        <f t="shared" si="25"/>
        <v>0</v>
      </c>
      <c r="Q52" s="8">
        <f t="shared" si="26"/>
        <v>0</v>
      </c>
      <c r="R52" s="8">
        <f t="shared" si="27"/>
        <v>0</v>
      </c>
    </row>
    <row r="53" spans="1:18" ht="21" customHeight="1">
      <c r="A53" s="2">
        <v>41730</v>
      </c>
      <c r="B53" s="4">
        <v>8955</v>
      </c>
      <c r="C53" s="5">
        <v>3.661</v>
      </c>
      <c r="D53" s="6">
        <v>13270.2</v>
      </c>
      <c r="E53" s="7">
        <f t="shared" si="14"/>
        <v>9.0999673144948119</v>
      </c>
      <c r="F53" s="7">
        <f t="shared" si="15"/>
        <v>1.2977363341380992</v>
      </c>
      <c r="G53" s="7">
        <f t="shared" si="16"/>
        <v>9.4932761988027305</v>
      </c>
      <c r="H53" s="8">
        <f t="shared" si="17"/>
        <v>0</v>
      </c>
      <c r="I53" s="8">
        <f t="shared" si="18"/>
        <v>0</v>
      </c>
      <c r="J53" s="8">
        <f t="shared" si="19"/>
        <v>1</v>
      </c>
      <c r="K53" s="8">
        <f t="shared" si="20"/>
        <v>0</v>
      </c>
      <c r="L53" s="8">
        <f t="shared" si="21"/>
        <v>0</v>
      </c>
      <c r="M53" s="8">
        <f t="shared" si="22"/>
        <v>0</v>
      </c>
      <c r="N53" s="8">
        <f t="shared" si="23"/>
        <v>0</v>
      </c>
      <c r="O53" s="8">
        <f t="shared" si="24"/>
        <v>0</v>
      </c>
      <c r="P53" s="8">
        <f t="shared" si="25"/>
        <v>0</v>
      </c>
      <c r="Q53" s="8">
        <f t="shared" si="26"/>
        <v>0</v>
      </c>
      <c r="R53" s="8">
        <f t="shared" si="27"/>
        <v>0</v>
      </c>
    </row>
    <row r="54" spans="1:18" ht="21" customHeight="1">
      <c r="A54" s="2">
        <v>41760</v>
      </c>
      <c r="B54" s="4">
        <v>9023</v>
      </c>
      <c r="C54" s="5">
        <v>3.673</v>
      </c>
      <c r="D54" s="6">
        <v>13312.9</v>
      </c>
      <c r="E54" s="7">
        <f t="shared" si="14"/>
        <v>9.1075321519945014</v>
      </c>
      <c r="F54" s="7">
        <f t="shared" si="15"/>
        <v>1.3010087668375303</v>
      </c>
      <c r="G54" s="7">
        <f t="shared" si="16"/>
        <v>9.4964887689487369</v>
      </c>
      <c r="H54" s="8">
        <f t="shared" si="17"/>
        <v>0</v>
      </c>
      <c r="I54" s="8">
        <f t="shared" si="18"/>
        <v>0</v>
      </c>
      <c r="J54" s="8">
        <f t="shared" si="19"/>
        <v>0</v>
      </c>
      <c r="K54" s="8">
        <f t="shared" si="20"/>
        <v>1</v>
      </c>
      <c r="L54" s="8">
        <f t="shared" si="21"/>
        <v>0</v>
      </c>
      <c r="M54" s="8">
        <f t="shared" si="22"/>
        <v>0</v>
      </c>
      <c r="N54" s="8">
        <f t="shared" si="23"/>
        <v>0</v>
      </c>
      <c r="O54" s="8">
        <f t="shared" si="24"/>
        <v>0</v>
      </c>
      <c r="P54" s="8">
        <f t="shared" si="25"/>
        <v>0</v>
      </c>
      <c r="Q54" s="8">
        <f t="shared" si="26"/>
        <v>0</v>
      </c>
      <c r="R54" s="8">
        <f t="shared" si="27"/>
        <v>0</v>
      </c>
    </row>
    <row r="55" spans="1:18" ht="21" customHeight="1">
      <c r="A55" s="2">
        <v>41791</v>
      </c>
      <c r="B55" s="4">
        <v>9039</v>
      </c>
      <c r="C55" s="5">
        <v>3.6920000000000002</v>
      </c>
      <c r="D55" s="6">
        <v>13360.4</v>
      </c>
      <c r="E55" s="7">
        <f t="shared" si="14"/>
        <v>9.1093038277984117</v>
      </c>
      <c r="F55" s="7">
        <f t="shared" si="15"/>
        <v>1.3061683166406057</v>
      </c>
      <c r="G55" s="7">
        <f t="shared" si="16"/>
        <v>9.5000503867622008</v>
      </c>
      <c r="H55" s="8">
        <f t="shared" si="17"/>
        <v>0</v>
      </c>
      <c r="I55" s="8">
        <f t="shared" si="18"/>
        <v>0</v>
      </c>
      <c r="J55" s="8">
        <f t="shared" si="19"/>
        <v>0</v>
      </c>
      <c r="K55" s="8">
        <f t="shared" si="20"/>
        <v>0</v>
      </c>
      <c r="L55" s="8">
        <f t="shared" si="21"/>
        <v>1</v>
      </c>
      <c r="M55" s="8">
        <f t="shared" si="22"/>
        <v>0</v>
      </c>
      <c r="N55" s="8">
        <f t="shared" si="23"/>
        <v>0</v>
      </c>
      <c r="O55" s="8">
        <f t="shared" si="24"/>
        <v>0</v>
      </c>
      <c r="P55" s="8">
        <f t="shared" si="25"/>
        <v>0</v>
      </c>
      <c r="Q55" s="8">
        <f t="shared" si="26"/>
        <v>0</v>
      </c>
      <c r="R55" s="8">
        <f t="shared" si="27"/>
        <v>0</v>
      </c>
    </row>
    <row r="56" spans="1:18" ht="21" customHeight="1">
      <c r="A56" s="2">
        <v>41821</v>
      </c>
      <c r="B56" s="4">
        <v>9249</v>
      </c>
      <c r="C56" s="5">
        <v>3.6110000000000002</v>
      </c>
      <c r="D56" s="6">
        <v>13386.8</v>
      </c>
      <c r="E56" s="7">
        <f t="shared" si="14"/>
        <v>9.1322707165542596</v>
      </c>
      <c r="F56" s="7">
        <f t="shared" si="15"/>
        <v>1.2839847422953208</v>
      </c>
      <c r="G56" s="7">
        <f t="shared" si="16"/>
        <v>9.5020244258072619</v>
      </c>
      <c r="H56" s="8">
        <f t="shared" si="17"/>
        <v>0</v>
      </c>
      <c r="I56" s="8">
        <f t="shared" si="18"/>
        <v>0</v>
      </c>
      <c r="J56" s="8">
        <f t="shared" si="19"/>
        <v>0</v>
      </c>
      <c r="K56" s="8">
        <f t="shared" si="20"/>
        <v>0</v>
      </c>
      <c r="L56" s="8">
        <f t="shared" si="21"/>
        <v>0</v>
      </c>
      <c r="M56" s="8">
        <f t="shared" si="22"/>
        <v>1</v>
      </c>
      <c r="N56" s="8">
        <f t="shared" si="23"/>
        <v>0</v>
      </c>
      <c r="O56" s="8">
        <f t="shared" si="24"/>
        <v>0</v>
      </c>
      <c r="P56" s="8">
        <f t="shared" si="25"/>
        <v>0</v>
      </c>
      <c r="Q56" s="8">
        <f t="shared" si="26"/>
        <v>0</v>
      </c>
      <c r="R56" s="8">
        <f t="shared" si="27"/>
        <v>0</v>
      </c>
    </row>
    <row r="57" spans="1:18" ht="21" customHeight="1">
      <c r="A57" s="2">
        <v>41852</v>
      </c>
      <c r="B57" s="4">
        <v>9311</v>
      </c>
      <c r="C57" s="5">
        <v>3.4870000000000001</v>
      </c>
      <c r="D57" s="6">
        <v>13445.9</v>
      </c>
      <c r="E57" s="7">
        <f t="shared" si="14"/>
        <v>9.138951775888529</v>
      </c>
      <c r="F57" s="7">
        <f t="shared" si="15"/>
        <v>1.2490417676935142</v>
      </c>
      <c r="G57" s="7">
        <f t="shared" si="16"/>
        <v>9.5064295058452952</v>
      </c>
      <c r="H57" s="8">
        <f t="shared" si="17"/>
        <v>0</v>
      </c>
      <c r="I57" s="8">
        <f t="shared" si="18"/>
        <v>0</v>
      </c>
      <c r="J57" s="8">
        <f t="shared" si="19"/>
        <v>0</v>
      </c>
      <c r="K57" s="8">
        <f t="shared" si="20"/>
        <v>0</v>
      </c>
      <c r="L57" s="8">
        <f t="shared" si="21"/>
        <v>0</v>
      </c>
      <c r="M57" s="8">
        <f t="shared" si="22"/>
        <v>0</v>
      </c>
      <c r="N57" s="8">
        <f t="shared" si="23"/>
        <v>1</v>
      </c>
      <c r="O57" s="8">
        <f t="shared" si="24"/>
        <v>0</v>
      </c>
      <c r="P57" s="8">
        <f t="shared" si="25"/>
        <v>0</v>
      </c>
      <c r="Q57" s="8">
        <f t="shared" si="26"/>
        <v>0</v>
      </c>
      <c r="R57" s="8">
        <f t="shared" si="27"/>
        <v>0</v>
      </c>
    </row>
    <row r="58" spans="1:18" ht="21" customHeight="1">
      <c r="A58" s="2">
        <v>41883</v>
      </c>
      <c r="B58" s="4">
        <v>8822</v>
      </c>
      <c r="C58" s="5">
        <v>3.4060000000000001</v>
      </c>
      <c r="D58" s="6">
        <v>13486.3</v>
      </c>
      <c r="E58" s="7">
        <f t="shared" si="14"/>
        <v>9.0850038806648854</v>
      </c>
      <c r="F58" s="7">
        <f t="shared" si="15"/>
        <v>1.2255385822404965</v>
      </c>
      <c r="G58" s="7">
        <f t="shared" si="16"/>
        <v>9.5094296343385185</v>
      </c>
      <c r="H58" s="8">
        <f t="shared" si="17"/>
        <v>0</v>
      </c>
      <c r="I58" s="8">
        <f t="shared" si="18"/>
        <v>0</v>
      </c>
      <c r="J58" s="8">
        <f t="shared" si="19"/>
        <v>0</v>
      </c>
      <c r="K58" s="8">
        <f t="shared" si="20"/>
        <v>0</v>
      </c>
      <c r="L58" s="8">
        <f t="shared" si="21"/>
        <v>0</v>
      </c>
      <c r="M58" s="8">
        <f t="shared" si="22"/>
        <v>0</v>
      </c>
      <c r="N58" s="8">
        <f t="shared" si="23"/>
        <v>0</v>
      </c>
      <c r="O58" s="8">
        <f t="shared" si="24"/>
        <v>1</v>
      </c>
      <c r="P58" s="8">
        <f t="shared" si="25"/>
        <v>0</v>
      </c>
      <c r="Q58" s="8">
        <f t="shared" si="26"/>
        <v>0</v>
      </c>
      <c r="R58" s="8">
        <f t="shared" si="27"/>
        <v>0</v>
      </c>
    </row>
    <row r="59" spans="1:18" ht="21" customHeight="1">
      <c r="A59" s="2">
        <v>41913</v>
      </c>
      <c r="B59" s="4">
        <v>9148</v>
      </c>
      <c r="C59" s="5">
        <v>3.1709999999999998</v>
      </c>
      <c r="D59" s="6">
        <v>13550.7</v>
      </c>
      <c r="E59" s="7">
        <f t="shared" si="14"/>
        <v>9.1212905551426715</v>
      </c>
      <c r="F59" s="7">
        <f t="shared" si="15"/>
        <v>1.1540469955562103</v>
      </c>
      <c r="G59" s="7">
        <f t="shared" si="16"/>
        <v>9.5141934854900931</v>
      </c>
      <c r="H59" s="8">
        <f t="shared" si="17"/>
        <v>0</v>
      </c>
      <c r="I59" s="8">
        <f t="shared" si="18"/>
        <v>0</v>
      </c>
      <c r="J59" s="8">
        <f t="shared" si="19"/>
        <v>0</v>
      </c>
      <c r="K59" s="8">
        <f t="shared" si="20"/>
        <v>0</v>
      </c>
      <c r="L59" s="8">
        <f t="shared" si="21"/>
        <v>0</v>
      </c>
      <c r="M59" s="8">
        <f t="shared" si="22"/>
        <v>0</v>
      </c>
      <c r="N59" s="8">
        <f t="shared" si="23"/>
        <v>0</v>
      </c>
      <c r="O59" s="8">
        <f t="shared" si="24"/>
        <v>0</v>
      </c>
      <c r="P59" s="8">
        <f t="shared" si="25"/>
        <v>1</v>
      </c>
      <c r="Q59" s="8">
        <f t="shared" si="26"/>
        <v>0</v>
      </c>
      <c r="R59" s="8">
        <f t="shared" si="27"/>
        <v>0</v>
      </c>
    </row>
    <row r="60" spans="1:18" ht="21" customHeight="1">
      <c r="A60" s="2">
        <v>41944</v>
      </c>
      <c r="B60" s="4">
        <v>8921</v>
      </c>
      <c r="C60" s="5">
        <v>2.9119999999999999</v>
      </c>
      <c r="D60" s="6">
        <v>13624.4</v>
      </c>
      <c r="E60" s="7">
        <f t="shared" si="14"/>
        <v>9.0961633269137838</v>
      </c>
      <c r="F60" s="7">
        <f t="shared" si="15"/>
        <v>1.0688401303344395</v>
      </c>
      <c r="G60" s="7">
        <f t="shared" si="16"/>
        <v>9.5196175818645532</v>
      </c>
      <c r="H60" s="8">
        <f t="shared" si="17"/>
        <v>0</v>
      </c>
      <c r="I60" s="8">
        <f t="shared" si="18"/>
        <v>0</v>
      </c>
      <c r="J60" s="8">
        <f t="shared" si="19"/>
        <v>0</v>
      </c>
      <c r="K60" s="8">
        <f t="shared" si="20"/>
        <v>0</v>
      </c>
      <c r="L60" s="8">
        <f t="shared" si="21"/>
        <v>0</v>
      </c>
      <c r="M60" s="8">
        <f t="shared" si="22"/>
        <v>0</v>
      </c>
      <c r="N60" s="8">
        <f t="shared" si="23"/>
        <v>0</v>
      </c>
      <c r="O60" s="8">
        <f t="shared" si="24"/>
        <v>0</v>
      </c>
      <c r="P60" s="8">
        <f t="shared" si="25"/>
        <v>0</v>
      </c>
      <c r="Q60" s="8">
        <f t="shared" si="26"/>
        <v>1</v>
      </c>
      <c r="R60" s="8">
        <f t="shared" si="27"/>
        <v>0</v>
      </c>
    </row>
    <row r="61" spans="1:18" ht="21" customHeight="1">
      <c r="A61" s="2">
        <v>41974</v>
      </c>
      <c r="B61" s="4">
        <v>8941</v>
      </c>
      <c r="C61" s="5">
        <v>2.5430000000000001</v>
      </c>
      <c r="D61" s="6">
        <v>13719.1</v>
      </c>
      <c r="E61" s="7">
        <f t="shared" si="14"/>
        <v>9.0984027187353185</v>
      </c>
      <c r="F61" s="7">
        <f t="shared" si="15"/>
        <v>0.93334448643998269</v>
      </c>
      <c r="G61" s="7">
        <f t="shared" si="16"/>
        <v>9.5265443014606159</v>
      </c>
      <c r="H61" s="8">
        <f t="shared" si="17"/>
        <v>0</v>
      </c>
      <c r="I61" s="8">
        <f t="shared" si="18"/>
        <v>0</v>
      </c>
      <c r="J61" s="8">
        <f t="shared" si="19"/>
        <v>0</v>
      </c>
      <c r="K61" s="8">
        <f t="shared" si="20"/>
        <v>0</v>
      </c>
      <c r="L61" s="8">
        <f t="shared" si="21"/>
        <v>0</v>
      </c>
      <c r="M61" s="8">
        <f t="shared" si="22"/>
        <v>0</v>
      </c>
      <c r="N61" s="8">
        <f t="shared" si="23"/>
        <v>0</v>
      </c>
      <c r="O61" s="8">
        <f t="shared" si="24"/>
        <v>0</v>
      </c>
      <c r="P61" s="8">
        <f t="shared" si="25"/>
        <v>0</v>
      </c>
      <c r="Q61" s="8">
        <f t="shared" si="26"/>
        <v>0</v>
      </c>
      <c r="R61" s="8">
        <f t="shared" si="27"/>
        <v>1</v>
      </c>
    </row>
    <row r="62" spans="1:18" ht="21" customHeight="1">
      <c r="A62" s="2">
        <v>42005</v>
      </c>
      <c r="B62" s="4">
        <v>8639</v>
      </c>
      <c r="C62" s="5">
        <v>2.1160000000000001</v>
      </c>
      <c r="D62" s="6">
        <v>13797.7</v>
      </c>
      <c r="E62" s="7">
        <f t="shared" si="14"/>
        <v>9.0640421143588839</v>
      </c>
      <c r="F62" s="7">
        <f t="shared" si="15"/>
        <v>0.749527513996053</v>
      </c>
      <c r="G62" s="7">
        <f t="shared" si="16"/>
        <v>9.5322571905881972</v>
      </c>
      <c r="H62" s="8">
        <f t="shared" si="17"/>
        <v>0</v>
      </c>
      <c r="I62" s="8">
        <f t="shared" si="18"/>
        <v>0</v>
      </c>
      <c r="J62" s="8">
        <f t="shared" si="19"/>
        <v>0</v>
      </c>
      <c r="K62" s="8">
        <f t="shared" si="20"/>
        <v>0</v>
      </c>
      <c r="L62" s="8">
        <f t="shared" si="21"/>
        <v>0</v>
      </c>
      <c r="M62" s="8">
        <f t="shared" si="22"/>
        <v>0</v>
      </c>
      <c r="N62" s="8">
        <f t="shared" si="23"/>
        <v>0</v>
      </c>
      <c r="O62" s="8">
        <f t="shared" si="24"/>
        <v>0</v>
      </c>
      <c r="P62" s="8">
        <f t="shared" si="25"/>
        <v>0</v>
      </c>
      <c r="Q62" s="8">
        <f t="shared" si="26"/>
        <v>0</v>
      </c>
      <c r="R62" s="8">
        <f t="shared" si="27"/>
        <v>0</v>
      </c>
    </row>
    <row r="63" spans="1:18" ht="21" customHeight="1">
      <c r="A63" s="2">
        <v>42036</v>
      </c>
      <c r="B63" s="4">
        <v>8829</v>
      </c>
      <c r="C63" s="5">
        <v>2.2160000000000002</v>
      </c>
      <c r="D63" s="6">
        <v>13848</v>
      </c>
      <c r="E63" s="7">
        <f t="shared" si="14"/>
        <v>9.0857970369015817</v>
      </c>
      <c r="F63" s="7">
        <f t="shared" si="15"/>
        <v>0.79570376888503747</v>
      </c>
      <c r="G63" s="7">
        <f t="shared" si="16"/>
        <v>9.535896096856046</v>
      </c>
      <c r="H63" s="8">
        <f t="shared" si="17"/>
        <v>1</v>
      </c>
      <c r="I63" s="8">
        <f t="shared" si="18"/>
        <v>0</v>
      </c>
      <c r="J63" s="8">
        <f t="shared" si="19"/>
        <v>0</v>
      </c>
      <c r="K63" s="8">
        <f t="shared" si="20"/>
        <v>0</v>
      </c>
      <c r="L63" s="8">
        <f t="shared" si="21"/>
        <v>0</v>
      </c>
      <c r="M63" s="8">
        <f t="shared" si="22"/>
        <v>0</v>
      </c>
      <c r="N63" s="8">
        <f t="shared" si="23"/>
        <v>0</v>
      </c>
      <c r="O63" s="8">
        <f t="shared" si="24"/>
        <v>0</v>
      </c>
      <c r="P63" s="8">
        <f t="shared" si="25"/>
        <v>0</v>
      </c>
      <c r="Q63" s="8">
        <f t="shared" si="26"/>
        <v>0</v>
      </c>
      <c r="R63" s="8">
        <f t="shared" si="27"/>
        <v>0</v>
      </c>
    </row>
    <row r="64" spans="1:18" ht="21" customHeight="1">
      <c r="A64" s="2">
        <v>42064</v>
      </c>
      <c r="B64" s="4">
        <v>9057</v>
      </c>
      <c r="C64" s="5">
        <v>2.464</v>
      </c>
      <c r="D64" s="6">
        <v>13811.3</v>
      </c>
      <c r="E64" s="7">
        <f t="shared" si="14"/>
        <v>9.1112932183749482</v>
      </c>
      <c r="F64" s="7">
        <f t="shared" si="15"/>
        <v>0.9017860456712733</v>
      </c>
      <c r="G64" s="7">
        <f t="shared" si="16"/>
        <v>9.5332423766579577</v>
      </c>
      <c r="H64" s="8">
        <f t="shared" si="17"/>
        <v>0</v>
      </c>
      <c r="I64" s="8">
        <f t="shared" si="18"/>
        <v>1</v>
      </c>
      <c r="J64" s="8">
        <f t="shared" si="19"/>
        <v>0</v>
      </c>
      <c r="K64" s="8">
        <f t="shared" si="20"/>
        <v>0</v>
      </c>
      <c r="L64" s="8">
        <f t="shared" si="21"/>
        <v>0</v>
      </c>
      <c r="M64" s="8">
        <f t="shared" si="22"/>
        <v>0</v>
      </c>
      <c r="N64" s="8">
        <f t="shared" si="23"/>
        <v>0</v>
      </c>
      <c r="O64" s="8">
        <f t="shared" si="24"/>
        <v>0</v>
      </c>
      <c r="P64" s="8">
        <f t="shared" si="25"/>
        <v>0</v>
      </c>
      <c r="Q64" s="8">
        <f t="shared" si="26"/>
        <v>0</v>
      </c>
      <c r="R64" s="8">
        <f t="shared" si="27"/>
        <v>0</v>
      </c>
    </row>
    <row r="65" spans="1:18" ht="21" customHeight="1">
      <c r="A65" s="2">
        <v>42095</v>
      </c>
      <c r="B65" s="4">
        <v>9189</v>
      </c>
      <c r="C65" s="5">
        <v>2.4689999999999999</v>
      </c>
      <c r="D65" s="6">
        <v>13842</v>
      </c>
      <c r="E65" s="7">
        <f t="shared" si="14"/>
        <v>9.1257623955008853</v>
      </c>
      <c r="F65" s="7">
        <f t="shared" si="15"/>
        <v>0.90381321036304241</v>
      </c>
      <c r="G65" s="7">
        <f t="shared" si="16"/>
        <v>9.5354627274018089</v>
      </c>
      <c r="H65" s="8">
        <f t="shared" si="17"/>
        <v>0</v>
      </c>
      <c r="I65" s="8">
        <f t="shared" si="18"/>
        <v>0</v>
      </c>
      <c r="J65" s="8">
        <f t="shared" si="19"/>
        <v>1</v>
      </c>
      <c r="K65" s="8">
        <f t="shared" si="20"/>
        <v>0</v>
      </c>
      <c r="L65" s="8">
        <f t="shared" si="21"/>
        <v>0</v>
      </c>
      <c r="M65" s="8">
        <f t="shared" si="22"/>
        <v>0</v>
      </c>
      <c r="N65" s="8">
        <f t="shared" si="23"/>
        <v>0</v>
      </c>
      <c r="O65" s="8">
        <f t="shared" si="24"/>
        <v>0</v>
      </c>
      <c r="P65" s="8">
        <f t="shared" si="25"/>
        <v>0</v>
      </c>
      <c r="Q65" s="8">
        <f t="shared" si="26"/>
        <v>0</v>
      </c>
      <c r="R65" s="8">
        <f t="shared" si="27"/>
        <v>0</v>
      </c>
    </row>
    <row r="66" spans="1:18" ht="21" customHeight="1">
      <c r="A66" s="2">
        <v>42125</v>
      </c>
      <c r="B66" s="4">
        <v>9262</v>
      </c>
      <c r="C66" s="5">
        <v>2.718</v>
      </c>
      <c r="D66" s="6">
        <v>13865.6</v>
      </c>
      <c r="E66" s="7">
        <f t="shared" ref="E66:E97" si="28">LN(B66)</f>
        <v>9.1336752870406972</v>
      </c>
      <c r="F66" s="7">
        <f t="shared" ref="F66:F97" si="29">LN(C66)</f>
        <v>0.99989631572895199</v>
      </c>
      <c r="G66" s="7">
        <f t="shared" ref="G66:G97" si="30">LN(D66)</f>
        <v>9.5371662315455907</v>
      </c>
      <c r="H66" s="8">
        <f t="shared" ref="H66:H97" si="31">IF(MONTH($A66)=2,1,0)</f>
        <v>0</v>
      </c>
      <c r="I66" s="8">
        <f t="shared" ref="I66:I97" si="32">IF(MONTH($A66)=3,1,0)</f>
        <v>0</v>
      </c>
      <c r="J66" s="8">
        <f t="shared" ref="J66:J97" si="33">IF(MONTH($A66)=4,1,0)</f>
        <v>0</v>
      </c>
      <c r="K66" s="8">
        <f t="shared" ref="K66:K97" si="34">IF(MONTH($A66)=5,1,0)</f>
        <v>1</v>
      </c>
      <c r="L66" s="8">
        <f t="shared" ref="L66:L97" si="35">IF(MONTH($A66)=6,1,0)</f>
        <v>0</v>
      </c>
      <c r="M66" s="8">
        <f t="shared" ref="M66:M97" si="36">IF(MONTH($A66)=7,1,0)</f>
        <v>0</v>
      </c>
      <c r="N66" s="8">
        <f t="shared" ref="N66:N97" si="37">IF(MONTH($A66)=8,1,0)</f>
        <v>0</v>
      </c>
      <c r="O66" s="8">
        <f t="shared" ref="O66:O97" si="38">IF(MONTH($A66)=9,1,0)</f>
        <v>0</v>
      </c>
      <c r="P66" s="8">
        <f t="shared" ref="P66:P97" si="39">IF(MONTH($A66)=10,1,0)</f>
        <v>0</v>
      </c>
      <c r="Q66" s="8">
        <f t="shared" ref="Q66:Q97" si="40">IF(MONTH($A66)=11,1,0)</f>
        <v>0</v>
      </c>
      <c r="R66" s="8">
        <f t="shared" ref="R66:R97" si="41">IF(MONTH($A66)=12,1,0)</f>
        <v>0</v>
      </c>
    </row>
    <row r="67" spans="1:18" ht="21" customHeight="1">
      <c r="A67" s="2">
        <v>42156</v>
      </c>
      <c r="B67" s="4">
        <v>9417</v>
      </c>
      <c r="C67" s="5">
        <v>2.802</v>
      </c>
      <c r="D67" s="6">
        <v>13874.1</v>
      </c>
      <c r="E67" s="7">
        <f t="shared" si="28"/>
        <v>9.1502718455100638</v>
      </c>
      <c r="F67" s="7">
        <f t="shared" si="29"/>
        <v>1.0303334479148152</v>
      </c>
      <c r="G67" s="7">
        <f t="shared" si="30"/>
        <v>9.5377790716459536</v>
      </c>
      <c r="H67" s="8">
        <f t="shared" si="31"/>
        <v>0</v>
      </c>
      <c r="I67" s="8">
        <f t="shared" si="32"/>
        <v>0</v>
      </c>
      <c r="J67" s="8">
        <f t="shared" si="33"/>
        <v>0</v>
      </c>
      <c r="K67" s="8">
        <f t="shared" si="34"/>
        <v>0</v>
      </c>
      <c r="L67" s="8">
        <f t="shared" si="35"/>
        <v>1</v>
      </c>
      <c r="M67" s="8">
        <f t="shared" si="36"/>
        <v>0</v>
      </c>
      <c r="N67" s="8">
        <f t="shared" si="37"/>
        <v>0</v>
      </c>
      <c r="O67" s="8">
        <f t="shared" si="38"/>
        <v>0</v>
      </c>
      <c r="P67" s="8">
        <f t="shared" si="39"/>
        <v>0</v>
      </c>
      <c r="Q67" s="8">
        <f t="shared" si="40"/>
        <v>0</v>
      </c>
      <c r="R67" s="8">
        <f t="shared" si="41"/>
        <v>0</v>
      </c>
    </row>
    <row r="68" spans="1:18" ht="21" customHeight="1">
      <c r="A68" s="2">
        <v>42186</v>
      </c>
      <c r="B68" s="4">
        <v>9470</v>
      </c>
      <c r="C68" s="5">
        <v>2.794</v>
      </c>
      <c r="D68" s="6">
        <v>13905.7</v>
      </c>
      <c r="E68" s="7">
        <f t="shared" si="28"/>
        <v>9.1558841861801241</v>
      </c>
      <c r="F68" s="7">
        <f t="shared" si="29"/>
        <v>1.02747426083477</v>
      </c>
      <c r="G68" s="7">
        <f t="shared" si="30"/>
        <v>9.5400541070047087</v>
      </c>
      <c r="H68" s="8">
        <f t="shared" si="31"/>
        <v>0</v>
      </c>
      <c r="I68" s="8">
        <f t="shared" si="32"/>
        <v>0</v>
      </c>
      <c r="J68" s="8">
        <f t="shared" si="33"/>
        <v>0</v>
      </c>
      <c r="K68" s="8">
        <f t="shared" si="34"/>
        <v>0</v>
      </c>
      <c r="L68" s="8">
        <f t="shared" si="35"/>
        <v>0</v>
      </c>
      <c r="M68" s="8">
        <f t="shared" si="36"/>
        <v>1</v>
      </c>
      <c r="N68" s="8">
        <f t="shared" si="37"/>
        <v>0</v>
      </c>
      <c r="O68" s="8">
        <f t="shared" si="38"/>
        <v>0</v>
      </c>
      <c r="P68" s="8">
        <f t="shared" si="39"/>
        <v>0</v>
      </c>
      <c r="Q68" s="8">
        <f t="shared" si="40"/>
        <v>0</v>
      </c>
      <c r="R68" s="8">
        <f t="shared" si="41"/>
        <v>0</v>
      </c>
    </row>
    <row r="69" spans="1:18" ht="21" customHeight="1">
      <c r="A69" s="2">
        <v>42217</v>
      </c>
      <c r="B69" s="4">
        <v>9460</v>
      </c>
      <c r="C69" s="5">
        <v>2.6360000000000001</v>
      </c>
      <c r="D69" s="6">
        <v>13935.8</v>
      </c>
      <c r="E69" s="7">
        <f t="shared" si="28"/>
        <v>9.1548276620459248</v>
      </c>
      <c r="F69" s="7">
        <f t="shared" si="29"/>
        <v>0.96926261664026081</v>
      </c>
      <c r="G69" s="7">
        <f t="shared" si="30"/>
        <v>9.5422163476689814</v>
      </c>
      <c r="H69" s="8">
        <f t="shared" si="31"/>
        <v>0</v>
      </c>
      <c r="I69" s="8">
        <f t="shared" si="32"/>
        <v>0</v>
      </c>
      <c r="J69" s="8">
        <f t="shared" si="33"/>
        <v>0</v>
      </c>
      <c r="K69" s="8">
        <f t="shared" si="34"/>
        <v>0</v>
      </c>
      <c r="L69" s="8">
        <f t="shared" si="35"/>
        <v>0</v>
      </c>
      <c r="M69" s="8">
        <f t="shared" si="36"/>
        <v>0</v>
      </c>
      <c r="N69" s="8">
        <f t="shared" si="37"/>
        <v>1</v>
      </c>
      <c r="O69" s="8">
        <f t="shared" si="38"/>
        <v>0</v>
      </c>
      <c r="P69" s="8">
        <f t="shared" si="39"/>
        <v>0</v>
      </c>
      <c r="Q69" s="8">
        <f t="shared" si="40"/>
        <v>0</v>
      </c>
      <c r="R69" s="8">
        <f t="shared" si="41"/>
        <v>0</v>
      </c>
    </row>
    <row r="70" spans="1:18" ht="21" customHeight="1">
      <c r="A70" s="2">
        <v>42248</v>
      </c>
      <c r="B70" s="4">
        <v>9289</v>
      </c>
      <c r="C70" s="5">
        <v>2.3650000000000002</v>
      </c>
      <c r="D70" s="6">
        <v>13972.2</v>
      </c>
      <c r="E70" s="7">
        <f t="shared" si="28"/>
        <v>9.1365861833875215</v>
      </c>
      <c r="F70" s="7">
        <f t="shared" si="29"/>
        <v>0.86077802194389641</v>
      </c>
      <c r="G70" s="7">
        <f t="shared" si="30"/>
        <v>9.5448249201672457</v>
      </c>
      <c r="H70" s="8">
        <f t="shared" si="31"/>
        <v>0</v>
      </c>
      <c r="I70" s="8">
        <f t="shared" si="32"/>
        <v>0</v>
      </c>
      <c r="J70" s="8">
        <f t="shared" si="33"/>
        <v>0</v>
      </c>
      <c r="K70" s="8">
        <f t="shared" si="34"/>
        <v>0</v>
      </c>
      <c r="L70" s="8">
        <f t="shared" si="35"/>
        <v>0</v>
      </c>
      <c r="M70" s="8">
        <f t="shared" si="36"/>
        <v>0</v>
      </c>
      <c r="N70" s="8">
        <f t="shared" si="37"/>
        <v>0</v>
      </c>
      <c r="O70" s="8">
        <f t="shared" si="38"/>
        <v>1</v>
      </c>
      <c r="P70" s="8">
        <f t="shared" si="39"/>
        <v>0</v>
      </c>
      <c r="Q70" s="8">
        <f t="shared" si="40"/>
        <v>0</v>
      </c>
      <c r="R70" s="8">
        <f t="shared" si="41"/>
        <v>0</v>
      </c>
    </row>
    <row r="71" spans="1:18" ht="21" customHeight="1">
      <c r="A71" s="2">
        <v>42278</v>
      </c>
      <c r="B71" s="4">
        <v>9245</v>
      </c>
      <c r="C71" s="5">
        <v>2.29</v>
      </c>
      <c r="D71" s="6">
        <v>13996.9</v>
      </c>
      <c r="E71" s="7">
        <f t="shared" si="28"/>
        <v>9.1318381438212253</v>
      </c>
      <c r="F71" s="7">
        <f t="shared" si="29"/>
        <v>0.82855181756614826</v>
      </c>
      <c r="G71" s="7">
        <f t="shared" si="30"/>
        <v>9.5465911555070413</v>
      </c>
      <c r="H71" s="8">
        <f t="shared" si="31"/>
        <v>0</v>
      </c>
      <c r="I71" s="8">
        <f t="shared" si="32"/>
        <v>0</v>
      </c>
      <c r="J71" s="8">
        <f t="shared" si="33"/>
        <v>0</v>
      </c>
      <c r="K71" s="8">
        <f t="shared" si="34"/>
        <v>0</v>
      </c>
      <c r="L71" s="8">
        <f t="shared" si="35"/>
        <v>0</v>
      </c>
      <c r="M71" s="8">
        <f t="shared" si="36"/>
        <v>0</v>
      </c>
      <c r="N71" s="8">
        <f t="shared" si="37"/>
        <v>0</v>
      </c>
      <c r="O71" s="8">
        <f t="shared" si="38"/>
        <v>0</v>
      </c>
      <c r="P71" s="8">
        <f t="shared" si="39"/>
        <v>1</v>
      </c>
      <c r="Q71" s="8">
        <f t="shared" si="40"/>
        <v>0</v>
      </c>
      <c r="R71" s="8">
        <f t="shared" si="41"/>
        <v>0</v>
      </c>
    </row>
    <row r="72" spans="1:18" ht="21" customHeight="1">
      <c r="A72" s="2">
        <v>42309</v>
      </c>
      <c r="B72" s="4">
        <v>9112</v>
      </c>
      <c r="C72" s="5">
        <v>2.1579999999999999</v>
      </c>
      <c r="D72" s="6">
        <v>13993.4</v>
      </c>
      <c r="E72" s="7">
        <f t="shared" si="28"/>
        <v>9.1173475051270181</v>
      </c>
      <c r="F72" s="7">
        <f t="shared" si="29"/>
        <v>0.76918186683594292</v>
      </c>
      <c r="G72" s="7">
        <f t="shared" si="30"/>
        <v>9.5463410688685819</v>
      </c>
      <c r="H72" s="8">
        <f t="shared" si="31"/>
        <v>0</v>
      </c>
      <c r="I72" s="8">
        <f t="shared" si="32"/>
        <v>0</v>
      </c>
      <c r="J72" s="8">
        <f t="shared" si="33"/>
        <v>0</v>
      </c>
      <c r="K72" s="8">
        <f t="shared" si="34"/>
        <v>0</v>
      </c>
      <c r="L72" s="8">
        <f t="shared" si="35"/>
        <v>0</v>
      </c>
      <c r="M72" s="8">
        <f t="shared" si="36"/>
        <v>0</v>
      </c>
      <c r="N72" s="8">
        <f t="shared" si="37"/>
        <v>0</v>
      </c>
      <c r="O72" s="8">
        <f t="shared" si="38"/>
        <v>0</v>
      </c>
      <c r="P72" s="8">
        <f t="shared" si="39"/>
        <v>0</v>
      </c>
      <c r="Q72" s="8">
        <f t="shared" si="40"/>
        <v>1</v>
      </c>
      <c r="R72" s="8">
        <f t="shared" si="41"/>
        <v>0</v>
      </c>
    </row>
    <row r="73" spans="1:18" ht="21" customHeight="1">
      <c r="A73" s="2">
        <v>42339</v>
      </c>
      <c r="B73" s="4">
        <v>9148</v>
      </c>
      <c r="C73" s="5">
        <v>2.0379999999999998</v>
      </c>
      <c r="D73" s="6">
        <v>14060.2</v>
      </c>
      <c r="E73" s="7">
        <f t="shared" si="28"/>
        <v>9.1212905551426715</v>
      </c>
      <c r="F73" s="7">
        <f t="shared" si="29"/>
        <v>0.71196893480053303</v>
      </c>
      <c r="G73" s="7">
        <f t="shared" si="30"/>
        <v>9.5511033900145517</v>
      </c>
      <c r="H73" s="8">
        <f t="shared" si="31"/>
        <v>0</v>
      </c>
      <c r="I73" s="8">
        <f t="shared" si="32"/>
        <v>0</v>
      </c>
      <c r="J73" s="8">
        <f t="shared" si="33"/>
        <v>0</v>
      </c>
      <c r="K73" s="8">
        <f t="shared" si="34"/>
        <v>0</v>
      </c>
      <c r="L73" s="8">
        <f t="shared" si="35"/>
        <v>0</v>
      </c>
      <c r="M73" s="8">
        <f t="shared" si="36"/>
        <v>0</v>
      </c>
      <c r="N73" s="8">
        <f t="shared" si="37"/>
        <v>0</v>
      </c>
      <c r="O73" s="8">
        <f t="shared" si="38"/>
        <v>0</v>
      </c>
      <c r="P73" s="8">
        <f t="shared" si="39"/>
        <v>0</v>
      </c>
      <c r="Q73" s="8">
        <f t="shared" si="40"/>
        <v>0</v>
      </c>
      <c r="R73" s="8">
        <f t="shared" si="41"/>
        <v>1</v>
      </c>
    </row>
    <row r="74" spans="1:18" ht="21" customHeight="1">
      <c r="A74" s="2">
        <v>42370</v>
      </c>
      <c r="B74" s="4">
        <v>8653</v>
      </c>
      <c r="C74" s="5">
        <v>1.9490000000000001</v>
      </c>
      <c r="D74" s="6">
        <v>14121.1</v>
      </c>
      <c r="E74" s="7">
        <f t="shared" si="28"/>
        <v>9.0656613606067395</v>
      </c>
      <c r="F74" s="7">
        <f t="shared" si="29"/>
        <v>0.66731642052542384</v>
      </c>
      <c r="G74" s="7">
        <f t="shared" si="30"/>
        <v>9.5554254116956177</v>
      </c>
      <c r="H74" s="8">
        <f t="shared" si="31"/>
        <v>0</v>
      </c>
      <c r="I74" s="8">
        <f t="shared" si="32"/>
        <v>0</v>
      </c>
      <c r="J74" s="8">
        <f t="shared" si="33"/>
        <v>0</v>
      </c>
      <c r="K74" s="8">
        <f t="shared" si="34"/>
        <v>0</v>
      </c>
      <c r="L74" s="8">
        <f t="shared" si="35"/>
        <v>0</v>
      </c>
      <c r="M74" s="8">
        <f t="shared" si="36"/>
        <v>0</v>
      </c>
      <c r="N74" s="8">
        <f t="shared" si="37"/>
        <v>0</v>
      </c>
      <c r="O74" s="8">
        <f t="shared" si="38"/>
        <v>0</v>
      </c>
      <c r="P74" s="8">
        <f t="shared" si="39"/>
        <v>0</v>
      </c>
      <c r="Q74" s="8">
        <f t="shared" si="40"/>
        <v>0</v>
      </c>
      <c r="R74" s="8">
        <f t="shared" si="41"/>
        <v>0</v>
      </c>
    </row>
    <row r="75" spans="1:18" ht="21" customHeight="1">
      <c r="A75" s="2">
        <v>42401</v>
      </c>
      <c r="B75" s="4">
        <v>9221</v>
      </c>
      <c r="C75" s="5">
        <v>1.764</v>
      </c>
      <c r="D75" s="6">
        <v>14135.3</v>
      </c>
      <c r="E75" s="7">
        <f t="shared" si="28"/>
        <v>9.1292387705391409</v>
      </c>
      <c r="F75" s="7">
        <f t="shared" si="29"/>
        <v>0.56758395758459956</v>
      </c>
      <c r="G75" s="7">
        <f t="shared" si="30"/>
        <v>9.5564304938147409</v>
      </c>
      <c r="H75" s="8">
        <f t="shared" si="31"/>
        <v>1</v>
      </c>
      <c r="I75" s="8">
        <f t="shared" si="32"/>
        <v>0</v>
      </c>
      <c r="J75" s="8">
        <f t="shared" si="33"/>
        <v>0</v>
      </c>
      <c r="K75" s="8">
        <f t="shared" si="34"/>
        <v>0</v>
      </c>
      <c r="L75" s="8">
        <f t="shared" si="35"/>
        <v>0</v>
      </c>
      <c r="M75" s="8">
        <f t="shared" si="36"/>
        <v>0</v>
      </c>
      <c r="N75" s="8">
        <f t="shared" si="37"/>
        <v>0</v>
      </c>
      <c r="O75" s="8">
        <f t="shared" si="38"/>
        <v>0</v>
      </c>
      <c r="P75" s="8">
        <f t="shared" si="39"/>
        <v>0</v>
      </c>
      <c r="Q75" s="8">
        <f t="shared" si="40"/>
        <v>0</v>
      </c>
      <c r="R75" s="8">
        <f t="shared" si="41"/>
        <v>0</v>
      </c>
    </row>
    <row r="76" spans="1:18" ht="21" customHeight="1">
      <c r="A76" s="2">
        <v>42430</v>
      </c>
      <c r="B76" s="4">
        <v>9373</v>
      </c>
      <c r="C76" s="5">
        <v>1.9690000000000001</v>
      </c>
      <c r="D76" s="6">
        <v>14135.4</v>
      </c>
      <c r="E76" s="7">
        <f t="shared" si="28"/>
        <v>9.1455884947464856</v>
      </c>
      <c r="F76" s="7">
        <f t="shared" si="29"/>
        <v>0.67752579965698856</v>
      </c>
      <c r="G76" s="7">
        <f t="shared" si="30"/>
        <v>9.5564375682769942</v>
      </c>
      <c r="H76" s="8">
        <f t="shared" si="31"/>
        <v>0</v>
      </c>
      <c r="I76" s="8">
        <f t="shared" si="32"/>
        <v>1</v>
      </c>
      <c r="J76" s="8">
        <f t="shared" si="33"/>
        <v>0</v>
      </c>
      <c r="K76" s="8">
        <f t="shared" si="34"/>
        <v>0</v>
      </c>
      <c r="L76" s="8">
        <f t="shared" si="35"/>
        <v>0</v>
      </c>
      <c r="M76" s="8">
        <f t="shared" si="36"/>
        <v>0</v>
      </c>
      <c r="N76" s="8">
        <f t="shared" si="37"/>
        <v>0</v>
      </c>
      <c r="O76" s="8">
        <f t="shared" si="38"/>
        <v>0</v>
      </c>
      <c r="P76" s="8">
        <f t="shared" si="39"/>
        <v>0</v>
      </c>
      <c r="Q76" s="8">
        <f t="shared" si="40"/>
        <v>0</v>
      </c>
      <c r="R76" s="8">
        <f t="shared" si="41"/>
        <v>0</v>
      </c>
    </row>
    <row r="77" spans="1:18" ht="21" customHeight="1">
      <c r="A77" s="2">
        <v>42461</v>
      </c>
      <c r="B77" s="4">
        <v>9176</v>
      </c>
      <c r="C77" s="5">
        <v>2.113</v>
      </c>
      <c r="D77" s="6">
        <v>14106.2</v>
      </c>
      <c r="E77" s="7">
        <f t="shared" si="28"/>
        <v>9.1243466588092073</v>
      </c>
      <c r="F77" s="7">
        <f t="shared" si="29"/>
        <v>0.74810873863391969</v>
      </c>
      <c r="G77" s="7">
        <f t="shared" si="30"/>
        <v>9.5543696960314293</v>
      </c>
      <c r="H77" s="8">
        <f t="shared" si="31"/>
        <v>0</v>
      </c>
      <c r="I77" s="8">
        <f t="shared" si="32"/>
        <v>0</v>
      </c>
      <c r="J77" s="8">
        <f t="shared" si="33"/>
        <v>1</v>
      </c>
      <c r="K77" s="8">
        <f t="shared" si="34"/>
        <v>0</v>
      </c>
      <c r="L77" s="8">
        <f t="shared" si="35"/>
        <v>0</v>
      </c>
      <c r="M77" s="8">
        <f t="shared" si="36"/>
        <v>0</v>
      </c>
      <c r="N77" s="8">
        <f t="shared" si="37"/>
        <v>0</v>
      </c>
      <c r="O77" s="8">
        <f t="shared" si="38"/>
        <v>0</v>
      </c>
      <c r="P77" s="8">
        <f t="shared" si="39"/>
        <v>0</v>
      </c>
      <c r="Q77" s="8">
        <f t="shared" si="40"/>
        <v>0</v>
      </c>
      <c r="R77" s="8">
        <f t="shared" si="41"/>
        <v>0</v>
      </c>
    </row>
    <row r="78" spans="1:18" ht="21" customHeight="1">
      <c r="A78" s="2">
        <v>42491</v>
      </c>
      <c r="B78" s="4">
        <v>9417</v>
      </c>
      <c r="C78" s="5">
        <v>2.2679999999999998</v>
      </c>
      <c r="D78" s="6">
        <v>14095.5</v>
      </c>
      <c r="E78" s="7">
        <f t="shared" si="28"/>
        <v>9.1502718455100638</v>
      </c>
      <c r="F78" s="7">
        <f t="shared" si="29"/>
        <v>0.81889838586550556</v>
      </c>
      <c r="G78" s="7">
        <f t="shared" si="30"/>
        <v>9.5536108764912289</v>
      </c>
      <c r="H78" s="8">
        <f t="shared" si="31"/>
        <v>0</v>
      </c>
      <c r="I78" s="8">
        <f t="shared" si="32"/>
        <v>0</v>
      </c>
      <c r="J78" s="8">
        <f t="shared" si="33"/>
        <v>0</v>
      </c>
      <c r="K78" s="8">
        <f t="shared" si="34"/>
        <v>1</v>
      </c>
      <c r="L78" s="8">
        <f t="shared" si="35"/>
        <v>0</v>
      </c>
      <c r="M78" s="8">
        <f t="shared" si="36"/>
        <v>0</v>
      </c>
      <c r="N78" s="8">
        <f t="shared" si="37"/>
        <v>0</v>
      </c>
      <c r="O78" s="8">
        <f t="shared" si="38"/>
        <v>0</v>
      </c>
      <c r="P78" s="8">
        <f t="shared" si="39"/>
        <v>0</v>
      </c>
      <c r="Q78" s="8">
        <f t="shared" si="40"/>
        <v>0</v>
      </c>
      <c r="R78" s="8">
        <f t="shared" si="41"/>
        <v>0</v>
      </c>
    </row>
    <row r="79" spans="1:18" ht="21" customHeight="1">
      <c r="A79" s="2">
        <v>42522</v>
      </c>
      <c r="B79" s="4">
        <v>9608</v>
      </c>
      <c r="C79" s="5">
        <v>2.3660000000000001</v>
      </c>
      <c r="D79" s="6">
        <v>14104.9</v>
      </c>
      <c r="E79" s="7">
        <f t="shared" si="28"/>
        <v>9.1703513637598189</v>
      </c>
      <c r="F79" s="7">
        <f t="shared" si="29"/>
        <v>0.86120076555619507</v>
      </c>
      <c r="G79" s="7">
        <f t="shared" si="30"/>
        <v>9.5542775337264558</v>
      </c>
      <c r="H79" s="8">
        <f t="shared" si="31"/>
        <v>0</v>
      </c>
      <c r="I79" s="8">
        <f t="shared" si="32"/>
        <v>0</v>
      </c>
      <c r="J79" s="8">
        <f t="shared" si="33"/>
        <v>0</v>
      </c>
      <c r="K79" s="8">
        <f t="shared" si="34"/>
        <v>0</v>
      </c>
      <c r="L79" s="8">
        <f t="shared" si="35"/>
        <v>1</v>
      </c>
      <c r="M79" s="8">
        <f t="shared" si="36"/>
        <v>0</v>
      </c>
      <c r="N79" s="8">
        <f t="shared" si="37"/>
        <v>0</v>
      </c>
      <c r="O79" s="8">
        <f t="shared" si="38"/>
        <v>0</v>
      </c>
      <c r="P79" s="8">
        <f t="shared" si="39"/>
        <v>0</v>
      </c>
      <c r="Q79" s="8">
        <f t="shared" si="40"/>
        <v>0</v>
      </c>
      <c r="R79" s="8">
        <f t="shared" si="41"/>
        <v>0</v>
      </c>
    </row>
    <row r="80" spans="1:18" ht="21" customHeight="1">
      <c r="A80" s="2">
        <v>42552</v>
      </c>
      <c r="B80" s="4">
        <v>9578</v>
      </c>
      <c r="C80" s="5">
        <v>2.2389999999999999</v>
      </c>
      <c r="D80" s="6">
        <v>14160.1</v>
      </c>
      <c r="E80" s="7">
        <f t="shared" si="28"/>
        <v>9.1672240809025549</v>
      </c>
      <c r="F80" s="7">
        <f t="shared" si="29"/>
        <v>0.80602933761661777</v>
      </c>
      <c r="G80" s="7">
        <f t="shared" si="30"/>
        <v>9.5581834293696666</v>
      </c>
      <c r="H80" s="8">
        <f t="shared" si="31"/>
        <v>0</v>
      </c>
      <c r="I80" s="8">
        <f t="shared" si="32"/>
        <v>0</v>
      </c>
      <c r="J80" s="8">
        <f t="shared" si="33"/>
        <v>0</v>
      </c>
      <c r="K80" s="8">
        <f t="shared" si="34"/>
        <v>0</v>
      </c>
      <c r="L80" s="8">
        <f t="shared" si="35"/>
        <v>0</v>
      </c>
      <c r="M80" s="8">
        <f t="shared" si="36"/>
        <v>1</v>
      </c>
      <c r="N80" s="8">
        <f t="shared" si="37"/>
        <v>0</v>
      </c>
      <c r="O80" s="8">
        <f t="shared" si="38"/>
        <v>0</v>
      </c>
      <c r="P80" s="8">
        <f t="shared" si="39"/>
        <v>0</v>
      </c>
      <c r="Q80" s="8">
        <f t="shared" si="40"/>
        <v>0</v>
      </c>
      <c r="R80" s="8">
        <f t="shared" si="41"/>
        <v>0</v>
      </c>
    </row>
    <row r="81" spans="1:18" ht="21" customHeight="1">
      <c r="A81" s="2">
        <v>42583</v>
      </c>
      <c r="B81" s="4">
        <v>9687</v>
      </c>
      <c r="C81" s="5">
        <v>2.1779999999999999</v>
      </c>
      <c r="D81" s="6">
        <v>14176.7</v>
      </c>
      <c r="E81" s="7">
        <f t="shared" si="28"/>
        <v>9.1785400594263855</v>
      </c>
      <c r="F81" s="7">
        <f t="shared" si="29"/>
        <v>0.77840702451076871</v>
      </c>
      <c r="G81" s="7">
        <f t="shared" si="30"/>
        <v>9.5593550508582545</v>
      </c>
      <c r="H81" s="8">
        <f t="shared" si="31"/>
        <v>0</v>
      </c>
      <c r="I81" s="8">
        <f t="shared" si="32"/>
        <v>0</v>
      </c>
      <c r="J81" s="8">
        <f t="shared" si="33"/>
        <v>0</v>
      </c>
      <c r="K81" s="8">
        <f t="shared" si="34"/>
        <v>0</v>
      </c>
      <c r="L81" s="8">
        <f t="shared" si="35"/>
        <v>0</v>
      </c>
      <c r="M81" s="8">
        <f t="shared" si="36"/>
        <v>0</v>
      </c>
      <c r="N81" s="8">
        <f t="shared" si="37"/>
        <v>1</v>
      </c>
      <c r="O81" s="8">
        <f t="shared" si="38"/>
        <v>0</v>
      </c>
      <c r="P81" s="8">
        <f t="shared" si="39"/>
        <v>0</v>
      </c>
      <c r="Q81" s="8">
        <f t="shared" si="40"/>
        <v>0</v>
      </c>
      <c r="R81" s="8">
        <f t="shared" si="41"/>
        <v>0</v>
      </c>
    </row>
    <row r="82" spans="1:18" ht="21" customHeight="1">
      <c r="A82" s="2">
        <v>42614</v>
      </c>
      <c r="B82" s="4">
        <v>9484</v>
      </c>
      <c r="C82" s="5">
        <v>2.2189999999999999</v>
      </c>
      <c r="D82" s="6">
        <v>14209.1</v>
      </c>
      <c r="E82" s="7">
        <f t="shared" si="28"/>
        <v>9.1573614471852967</v>
      </c>
      <c r="F82" s="7">
        <f t="shared" si="29"/>
        <v>0.79705664395045683</v>
      </c>
      <c r="G82" s="7">
        <f t="shared" si="30"/>
        <v>9.5616378834062576</v>
      </c>
      <c r="H82" s="8">
        <f t="shared" si="31"/>
        <v>0</v>
      </c>
      <c r="I82" s="8">
        <f t="shared" si="32"/>
        <v>0</v>
      </c>
      <c r="J82" s="8">
        <f t="shared" si="33"/>
        <v>0</v>
      </c>
      <c r="K82" s="8">
        <f t="shared" si="34"/>
        <v>0</v>
      </c>
      <c r="L82" s="8">
        <f t="shared" si="35"/>
        <v>0</v>
      </c>
      <c r="M82" s="8">
        <f t="shared" si="36"/>
        <v>0</v>
      </c>
      <c r="N82" s="8">
        <f t="shared" si="37"/>
        <v>0</v>
      </c>
      <c r="O82" s="8">
        <f t="shared" si="38"/>
        <v>1</v>
      </c>
      <c r="P82" s="8">
        <f t="shared" si="39"/>
        <v>0</v>
      </c>
      <c r="Q82" s="8">
        <f t="shared" si="40"/>
        <v>0</v>
      </c>
      <c r="R82" s="8">
        <f t="shared" si="41"/>
        <v>0</v>
      </c>
    </row>
    <row r="83" spans="1:18" ht="21" customHeight="1">
      <c r="A83" s="2">
        <v>42644</v>
      </c>
      <c r="B83" s="4">
        <v>9093</v>
      </c>
      <c r="C83" s="5">
        <v>2.2490000000000001</v>
      </c>
      <c r="D83" s="6">
        <v>14235.4</v>
      </c>
      <c r="E83" s="7">
        <f t="shared" si="28"/>
        <v>9.1152601657259122</v>
      </c>
      <c r="F83" s="7">
        <f t="shared" si="29"/>
        <v>0.81048567297717866</v>
      </c>
      <c r="G83" s="7">
        <f t="shared" si="30"/>
        <v>9.5634870990714749</v>
      </c>
      <c r="H83" s="8">
        <f t="shared" si="31"/>
        <v>0</v>
      </c>
      <c r="I83" s="8">
        <f t="shared" si="32"/>
        <v>0</v>
      </c>
      <c r="J83" s="8">
        <f t="shared" si="33"/>
        <v>0</v>
      </c>
      <c r="K83" s="8">
        <f t="shared" si="34"/>
        <v>0</v>
      </c>
      <c r="L83" s="8">
        <f t="shared" si="35"/>
        <v>0</v>
      </c>
      <c r="M83" s="8">
        <f t="shared" si="36"/>
        <v>0</v>
      </c>
      <c r="N83" s="8">
        <f t="shared" si="37"/>
        <v>0</v>
      </c>
      <c r="O83" s="8">
        <f t="shared" si="38"/>
        <v>0</v>
      </c>
      <c r="P83" s="8">
        <f t="shared" si="39"/>
        <v>1</v>
      </c>
      <c r="Q83" s="8">
        <f t="shared" si="40"/>
        <v>0</v>
      </c>
      <c r="R83" s="8">
        <f t="shared" si="41"/>
        <v>0</v>
      </c>
    </row>
    <row r="84" spans="1:18" ht="21" customHeight="1">
      <c r="A84" s="2">
        <v>42675</v>
      </c>
      <c r="B84" s="4">
        <v>9233</v>
      </c>
      <c r="C84" s="5">
        <v>2.1819999999999999</v>
      </c>
      <c r="D84" s="6">
        <v>14273.6</v>
      </c>
      <c r="E84" s="7">
        <f t="shared" si="28"/>
        <v>9.1305393017726271</v>
      </c>
      <c r="F84" s="7">
        <f t="shared" si="29"/>
        <v>0.78024188741087908</v>
      </c>
      <c r="G84" s="7">
        <f t="shared" si="30"/>
        <v>9.5661669561595186</v>
      </c>
      <c r="H84" s="8">
        <f t="shared" si="31"/>
        <v>0</v>
      </c>
      <c r="I84" s="8">
        <f t="shared" si="32"/>
        <v>0</v>
      </c>
      <c r="J84" s="8">
        <f t="shared" si="33"/>
        <v>0</v>
      </c>
      <c r="K84" s="8">
        <f t="shared" si="34"/>
        <v>0</v>
      </c>
      <c r="L84" s="8">
        <f t="shared" si="35"/>
        <v>0</v>
      </c>
      <c r="M84" s="8">
        <f t="shared" si="36"/>
        <v>0</v>
      </c>
      <c r="N84" s="8">
        <f t="shared" si="37"/>
        <v>0</v>
      </c>
      <c r="O84" s="8">
        <f t="shared" si="38"/>
        <v>0</v>
      </c>
      <c r="P84" s="8">
        <f t="shared" si="39"/>
        <v>0</v>
      </c>
      <c r="Q84" s="8">
        <f t="shared" si="40"/>
        <v>1</v>
      </c>
      <c r="R84" s="8">
        <f t="shared" si="41"/>
        <v>0</v>
      </c>
    </row>
    <row r="85" spans="1:18" ht="21" customHeight="1">
      <c r="A85" s="2">
        <v>42705</v>
      </c>
      <c r="B85" s="4">
        <v>9283</v>
      </c>
      <c r="C85" s="5">
        <v>2.254</v>
      </c>
      <c r="D85" s="6">
        <v>14313.7</v>
      </c>
      <c r="E85" s="7">
        <f t="shared" si="28"/>
        <v>9.1359400493999328</v>
      </c>
      <c r="F85" s="7">
        <f t="shared" si="29"/>
        <v>0.81270641561758461</v>
      </c>
      <c r="G85" s="7">
        <f t="shared" si="30"/>
        <v>9.5689723995767455</v>
      </c>
      <c r="H85" s="8">
        <f t="shared" si="31"/>
        <v>0</v>
      </c>
      <c r="I85" s="8">
        <f t="shared" si="32"/>
        <v>0</v>
      </c>
      <c r="J85" s="8">
        <f t="shared" si="33"/>
        <v>0</v>
      </c>
      <c r="K85" s="8">
        <f t="shared" si="34"/>
        <v>0</v>
      </c>
      <c r="L85" s="8">
        <f t="shared" si="35"/>
        <v>0</v>
      </c>
      <c r="M85" s="8">
        <f t="shared" si="36"/>
        <v>0</v>
      </c>
      <c r="N85" s="8">
        <f t="shared" si="37"/>
        <v>0</v>
      </c>
      <c r="O85" s="8">
        <f t="shared" si="38"/>
        <v>0</v>
      </c>
      <c r="P85" s="8">
        <f t="shared" si="39"/>
        <v>0</v>
      </c>
      <c r="Q85" s="8">
        <f t="shared" si="40"/>
        <v>0</v>
      </c>
      <c r="R85" s="8">
        <f t="shared" si="41"/>
        <v>1</v>
      </c>
    </row>
    <row r="86" spans="1:18" ht="21" customHeight="1">
      <c r="A86" s="2">
        <v>42736</v>
      </c>
      <c r="B86" s="4">
        <v>8507</v>
      </c>
      <c r="C86" s="5">
        <v>2.3490000000000002</v>
      </c>
      <c r="D86" s="6">
        <v>14373.7</v>
      </c>
      <c r="E86" s="7">
        <f t="shared" si="28"/>
        <v>9.0486446329758845</v>
      </c>
      <c r="F86" s="7">
        <f t="shared" si="29"/>
        <v>0.85398970567677579</v>
      </c>
      <c r="G86" s="7">
        <f t="shared" si="30"/>
        <v>9.5731554267934715</v>
      </c>
      <c r="H86" s="8">
        <f t="shared" si="31"/>
        <v>0</v>
      </c>
      <c r="I86" s="8">
        <f t="shared" si="32"/>
        <v>0</v>
      </c>
      <c r="J86" s="8">
        <f t="shared" si="33"/>
        <v>0</v>
      </c>
      <c r="K86" s="8">
        <f t="shared" si="34"/>
        <v>0</v>
      </c>
      <c r="L86" s="8">
        <f t="shared" si="35"/>
        <v>0</v>
      </c>
      <c r="M86" s="8">
        <f t="shared" si="36"/>
        <v>0</v>
      </c>
      <c r="N86" s="8">
        <f t="shared" si="37"/>
        <v>0</v>
      </c>
      <c r="O86" s="8">
        <f t="shared" si="38"/>
        <v>0</v>
      </c>
      <c r="P86" s="8">
        <f t="shared" si="39"/>
        <v>0</v>
      </c>
      <c r="Q86" s="8">
        <f t="shared" si="40"/>
        <v>0</v>
      </c>
      <c r="R86" s="8">
        <f t="shared" si="41"/>
        <v>0</v>
      </c>
    </row>
    <row r="87" spans="1:18" ht="21" customHeight="1">
      <c r="A87" s="2">
        <v>42767</v>
      </c>
      <c r="B87" s="4">
        <v>9008</v>
      </c>
      <c r="C87" s="5">
        <v>2.3039999999999998</v>
      </c>
      <c r="D87" s="6">
        <v>14416.8</v>
      </c>
      <c r="E87" s="7">
        <f t="shared" si="28"/>
        <v>9.1058683503794722</v>
      </c>
      <c r="F87" s="7">
        <f t="shared" si="29"/>
        <v>0.83464674283364471</v>
      </c>
      <c r="G87" s="7">
        <f t="shared" si="30"/>
        <v>9.5761494722040617</v>
      </c>
      <c r="H87" s="8">
        <f t="shared" si="31"/>
        <v>1</v>
      </c>
      <c r="I87" s="8">
        <f t="shared" si="32"/>
        <v>0</v>
      </c>
      <c r="J87" s="8">
        <f t="shared" si="33"/>
        <v>0</v>
      </c>
      <c r="K87" s="8">
        <f t="shared" si="34"/>
        <v>0</v>
      </c>
      <c r="L87" s="8">
        <f t="shared" si="35"/>
        <v>0</v>
      </c>
      <c r="M87" s="8">
        <f t="shared" si="36"/>
        <v>0</v>
      </c>
      <c r="N87" s="8">
        <f t="shared" si="37"/>
        <v>0</v>
      </c>
      <c r="O87" s="8">
        <f t="shared" si="38"/>
        <v>0</v>
      </c>
      <c r="P87" s="8">
        <f t="shared" si="39"/>
        <v>0</v>
      </c>
      <c r="Q87" s="8">
        <f t="shared" si="40"/>
        <v>0</v>
      </c>
      <c r="R87" s="8">
        <f t="shared" si="41"/>
        <v>0</v>
      </c>
    </row>
    <row r="88" spans="1:18" ht="21" customHeight="1">
      <c r="A88" s="2">
        <v>42795</v>
      </c>
      <c r="B88" s="4">
        <v>9325</v>
      </c>
      <c r="C88" s="5">
        <v>2.3250000000000002</v>
      </c>
      <c r="D88" s="6">
        <v>14476.3</v>
      </c>
      <c r="E88" s="7">
        <f t="shared" si="28"/>
        <v>9.140454244512016</v>
      </c>
      <c r="F88" s="7">
        <f t="shared" si="29"/>
        <v>0.84372003903931969</v>
      </c>
      <c r="G88" s="7">
        <f t="shared" si="30"/>
        <v>9.5802681084257895</v>
      </c>
      <c r="H88" s="8">
        <f t="shared" si="31"/>
        <v>0</v>
      </c>
      <c r="I88" s="8">
        <f t="shared" si="32"/>
        <v>1</v>
      </c>
      <c r="J88" s="8">
        <f t="shared" si="33"/>
        <v>0</v>
      </c>
      <c r="K88" s="8">
        <f t="shared" si="34"/>
        <v>0</v>
      </c>
      <c r="L88" s="8">
        <f t="shared" si="35"/>
        <v>0</v>
      </c>
      <c r="M88" s="8">
        <f t="shared" si="36"/>
        <v>0</v>
      </c>
      <c r="N88" s="8">
        <f t="shared" si="37"/>
        <v>0</v>
      </c>
      <c r="O88" s="8">
        <f t="shared" si="38"/>
        <v>0</v>
      </c>
      <c r="P88" s="8">
        <f t="shared" si="39"/>
        <v>0</v>
      </c>
      <c r="Q88" s="8">
        <f t="shared" si="40"/>
        <v>0</v>
      </c>
      <c r="R88" s="8">
        <f t="shared" si="41"/>
        <v>0</v>
      </c>
    </row>
    <row r="89" spans="1:18" ht="21" customHeight="1">
      <c r="A89" s="2">
        <v>42826</v>
      </c>
      <c r="B89" s="4">
        <v>9295</v>
      </c>
      <c r="C89" s="5">
        <v>2.4169999999999998</v>
      </c>
      <c r="D89" s="6">
        <v>14509.3</v>
      </c>
      <c r="E89" s="7">
        <f t="shared" si="28"/>
        <v>9.1372319001555447</v>
      </c>
      <c r="F89" s="7">
        <f t="shared" si="29"/>
        <v>0.88252710172134585</v>
      </c>
      <c r="G89" s="7">
        <f t="shared" si="30"/>
        <v>9.5825451021232055</v>
      </c>
      <c r="H89" s="8">
        <f t="shared" si="31"/>
        <v>0</v>
      </c>
      <c r="I89" s="8">
        <f t="shared" si="32"/>
        <v>0</v>
      </c>
      <c r="J89" s="8">
        <f t="shared" si="33"/>
        <v>1</v>
      </c>
      <c r="K89" s="8">
        <f t="shared" si="34"/>
        <v>0</v>
      </c>
      <c r="L89" s="8">
        <f t="shared" si="35"/>
        <v>0</v>
      </c>
      <c r="M89" s="8">
        <f t="shared" si="36"/>
        <v>0</v>
      </c>
      <c r="N89" s="8">
        <f t="shared" si="37"/>
        <v>0</v>
      </c>
      <c r="O89" s="8">
        <f t="shared" si="38"/>
        <v>0</v>
      </c>
      <c r="P89" s="8">
        <f t="shared" si="39"/>
        <v>0</v>
      </c>
      <c r="Q89" s="8">
        <f t="shared" si="40"/>
        <v>0</v>
      </c>
      <c r="R89" s="8">
        <f t="shared" si="41"/>
        <v>0</v>
      </c>
    </row>
    <row r="90" spans="1:18" ht="21" customHeight="1">
      <c r="A90" s="2">
        <v>42856</v>
      </c>
      <c r="B90" s="4">
        <v>9550</v>
      </c>
      <c r="C90" s="5">
        <v>2.391</v>
      </c>
      <c r="D90" s="6">
        <v>14610.7</v>
      </c>
      <c r="E90" s="7">
        <f t="shared" si="28"/>
        <v>9.1642964334747763</v>
      </c>
      <c r="F90" s="7">
        <f t="shared" si="29"/>
        <v>0.87171168847618763</v>
      </c>
      <c r="G90" s="7">
        <f t="shared" si="30"/>
        <v>9.5895094159857575</v>
      </c>
      <c r="H90" s="8">
        <f t="shared" si="31"/>
        <v>0</v>
      </c>
      <c r="I90" s="8">
        <f t="shared" si="32"/>
        <v>0</v>
      </c>
      <c r="J90" s="8">
        <f t="shared" si="33"/>
        <v>0</v>
      </c>
      <c r="K90" s="8">
        <f t="shared" si="34"/>
        <v>1</v>
      </c>
      <c r="L90" s="8">
        <f t="shared" si="35"/>
        <v>0</v>
      </c>
      <c r="M90" s="8">
        <f t="shared" si="36"/>
        <v>0</v>
      </c>
      <c r="N90" s="8">
        <f t="shared" si="37"/>
        <v>0</v>
      </c>
      <c r="O90" s="8">
        <f t="shared" si="38"/>
        <v>0</v>
      </c>
      <c r="P90" s="8">
        <f t="shared" si="39"/>
        <v>0</v>
      </c>
      <c r="Q90" s="8">
        <f t="shared" si="40"/>
        <v>0</v>
      </c>
      <c r="R90" s="8">
        <f t="shared" si="41"/>
        <v>0</v>
      </c>
    </row>
    <row r="91" spans="1:18" ht="21" customHeight="1">
      <c r="A91" s="2">
        <v>42887</v>
      </c>
      <c r="B91" s="4">
        <v>9772</v>
      </c>
      <c r="C91" s="5">
        <v>2.347</v>
      </c>
      <c r="D91" s="6">
        <v>14618.7</v>
      </c>
      <c r="E91" s="7">
        <f t="shared" si="28"/>
        <v>9.1872764323776313</v>
      </c>
      <c r="F91" s="7">
        <f t="shared" si="29"/>
        <v>0.8531379168688864</v>
      </c>
      <c r="G91" s="7">
        <f t="shared" si="30"/>
        <v>9.5900568100615704</v>
      </c>
      <c r="H91" s="8">
        <f t="shared" si="31"/>
        <v>0</v>
      </c>
      <c r="I91" s="8">
        <f t="shared" si="32"/>
        <v>0</v>
      </c>
      <c r="J91" s="8">
        <f t="shared" si="33"/>
        <v>0</v>
      </c>
      <c r="K91" s="8">
        <f t="shared" si="34"/>
        <v>0</v>
      </c>
      <c r="L91" s="8">
        <f t="shared" si="35"/>
        <v>1</v>
      </c>
      <c r="M91" s="8">
        <f t="shared" si="36"/>
        <v>0</v>
      </c>
      <c r="N91" s="8">
        <f t="shared" si="37"/>
        <v>0</v>
      </c>
      <c r="O91" s="8">
        <f t="shared" si="38"/>
        <v>0</v>
      </c>
      <c r="P91" s="8">
        <f t="shared" si="39"/>
        <v>0</v>
      </c>
      <c r="Q91" s="8">
        <f t="shared" si="40"/>
        <v>0</v>
      </c>
      <c r="R91" s="8">
        <f t="shared" si="41"/>
        <v>0</v>
      </c>
    </row>
    <row r="92" spans="1:18" ht="21" customHeight="1">
      <c r="A92" s="2">
        <v>42917</v>
      </c>
      <c r="B92" s="4">
        <v>9595</v>
      </c>
      <c r="C92" s="5">
        <v>2.2999999999999998</v>
      </c>
      <c r="D92" s="6">
        <v>14660.2</v>
      </c>
      <c r="E92" s="7">
        <f t="shared" si="28"/>
        <v>9.1689974084418004</v>
      </c>
      <c r="F92" s="7">
        <f t="shared" si="29"/>
        <v>0.83290912293510388</v>
      </c>
      <c r="G92" s="7">
        <f t="shared" si="30"/>
        <v>9.592891617912386</v>
      </c>
      <c r="H92" s="8">
        <f t="shared" si="31"/>
        <v>0</v>
      </c>
      <c r="I92" s="8">
        <f t="shared" si="32"/>
        <v>0</v>
      </c>
      <c r="J92" s="8">
        <f t="shared" si="33"/>
        <v>0</v>
      </c>
      <c r="K92" s="8">
        <f t="shared" si="34"/>
        <v>0</v>
      </c>
      <c r="L92" s="8">
        <f t="shared" si="35"/>
        <v>0</v>
      </c>
      <c r="M92" s="8">
        <f t="shared" si="36"/>
        <v>1</v>
      </c>
      <c r="N92" s="8">
        <f t="shared" si="37"/>
        <v>0</v>
      </c>
      <c r="O92" s="8">
        <f t="shared" si="38"/>
        <v>0</v>
      </c>
      <c r="P92" s="8">
        <f t="shared" si="39"/>
        <v>0</v>
      </c>
      <c r="Q92" s="8">
        <f t="shared" si="40"/>
        <v>0</v>
      </c>
      <c r="R92" s="8">
        <f t="shared" si="41"/>
        <v>0</v>
      </c>
    </row>
    <row r="93" spans="1:18" ht="21" customHeight="1">
      <c r="A93" s="2">
        <v>42948</v>
      </c>
      <c r="B93" s="4">
        <v>9752</v>
      </c>
      <c r="C93" s="5">
        <v>2.38</v>
      </c>
      <c r="D93" s="6">
        <v>14678.3</v>
      </c>
      <c r="E93" s="7">
        <f t="shared" si="28"/>
        <v>9.1852276711611083</v>
      </c>
      <c r="F93" s="7">
        <f t="shared" si="29"/>
        <v>0.86710048768338333</v>
      </c>
      <c r="G93" s="7">
        <f t="shared" si="30"/>
        <v>9.594125491648013</v>
      </c>
      <c r="H93" s="8">
        <f t="shared" si="31"/>
        <v>0</v>
      </c>
      <c r="I93" s="8">
        <f t="shared" si="32"/>
        <v>0</v>
      </c>
      <c r="J93" s="8">
        <f t="shared" si="33"/>
        <v>0</v>
      </c>
      <c r="K93" s="8">
        <f t="shared" si="34"/>
        <v>0</v>
      </c>
      <c r="L93" s="8">
        <f t="shared" si="35"/>
        <v>0</v>
      </c>
      <c r="M93" s="8">
        <f t="shared" si="36"/>
        <v>0</v>
      </c>
      <c r="N93" s="8">
        <f t="shared" si="37"/>
        <v>1</v>
      </c>
      <c r="O93" s="8">
        <f t="shared" si="38"/>
        <v>0</v>
      </c>
      <c r="P93" s="8">
        <f t="shared" si="39"/>
        <v>0</v>
      </c>
      <c r="Q93" s="8">
        <f t="shared" si="40"/>
        <v>0</v>
      </c>
      <c r="R93" s="8">
        <f t="shared" si="41"/>
        <v>0</v>
      </c>
    </row>
    <row r="94" spans="1:18" ht="21" customHeight="1">
      <c r="A94" s="2">
        <v>42979</v>
      </c>
      <c r="B94" s="4">
        <v>9378</v>
      </c>
      <c r="C94" s="5">
        <v>2.645</v>
      </c>
      <c r="D94" s="6">
        <v>14706</v>
      </c>
      <c r="E94" s="7">
        <f t="shared" si="28"/>
        <v>9.1461217996495314</v>
      </c>
      <c r="F94" s="7">
        <f t="shared" si="29"/>
        <v>0.97267106531026271</v>
      </c>
      <c r="G94" s="7">
        <f t="shared" si="30"/>
        <v>9.5960108527561676</v>
      </c>
      <c r="H94" s="8">
        <f t="shared" si="31"/>
        <v>0</v>
      </c>
      <c r="I94" s="8">
        <f t="shared" si="32"/>
        <v>0</v>
      </c>
      <c r="J94" s="8">
        <f t="shared" si="33"/>
        <v>0</v>
      </c>
      <c r="K94" s="8">
        <f t="shared" si="34"/>
        <v>0</v>
      </c>
      <c r="L94" s="8">
        <f t="shared" si="35"/>
        <v>0</v>
      </c>
      <c r="M94" s="8">
        <f t="shared" si="36"/>
        <v>0</v>
      </c>
      <c r="N94" s="8">
        <f t="shared" si="37"/>
        <v>0</v>
      </c>
      <c r="O94" s="8">
        <f t="shared" si="38"/>
        <v>1</v>
      </c>
      <c r="P94" s="8">
        <f t="shared" si="39"/>
        <v>0</v>
      </c>
      <c r="Q94" s="8">
        <f t="shared" si="40"/>
        <v>0</v>
      </c>
      <c r="R94" s="8">
        <f t="shared" si="41"/>
        <v>0</v>
      </c>
    </row>
    <row r="95" spans="1:18" ht="21" customHeight="1">
      <c r="A95" s="2">
        <v>43009</v>
      </c>
      <c r="B95" s="4">
        <v>9357</v>
      </c>
      <c r="C95" s="5">
        <v>2.5049999999999999</v>
      </c>
      <c r="D95" s="6">
        <v>14748.6</v>
      </c>
      <c r="E95" s="7">
        <f t="shared" si="28"/>
        <v>9.1438800052759124</v>
      </c>
      <c r="F95" s="7">
        <f t="shared" si="29"/>
        <v>0.91828873453682813</v>
      </c>
      <c r="G95" s="7">
        <f t="shared" si="30"/>
        <v>9.5989034420089911</v>
      </c>
      <c r="H95" s="8">
        <f t="shared" si="31"/>
        <v>0</v>
      </c>
      <c r="I95" s="8">
        <f t="shared" si="32"/>
        <v>0</v>
      </c>
      <c r="J95" s="8">
        <f t="shared" si="33"/>
        <v>0</v>
      </c>
      <c r="K95" s="8">
        <f t="shared" si="34"/>
        <v>0</v>
      </c>
      <c r="L95" s="8">
        <f t="shared" si="35"/>
        <v>0</v>
      </c>
      <c r="M95" s="8">
        <f t="shared" si="36"/>
        <v>0</v>
      </c>
      <c r="N95" s="8">
        <f t="shared" si="37"/>
        <v>0</v>
      </c>
      <c r="O95" s="8">
        <f t="shared" si="38"/>
        <v>0</v>
      </c>
      <c r="P95" s="8">
        <f t="shared" si="39"/>
        <v>1</v>
      </c>
      <c r="Q95" s="8">
        <f t="shared" si="40"/>
        <v>0</v>
      </c>
      <c r="R95" s="8">
        <f t="shared" si="41"/>
        <v>0</v>
      </c>
    </row>
    <row r="96" spans="1:18" ht="21" customHeight="1">
      <c r="A96" s="2">
        <v>43040</v>
      </c>
      <c r="B96" s="4">
        <v>9110</v>
      </c>
      <c r="C96" s="5">
        <v>2.5640000000000001</v>
      </c>
      <c r="D96" s="6">
        <v>14771.1</v>
      </c>
      <c r="E96" s="7">
        <f t="shared" si="28"/>
        <v>9.1171279902540032</v>
      </c>
      <c r="F96" s="7">
        <f t="shared" si="29"/>
        <v>0.94156853905842364</v>
      </c>
      <c r="G96" s="7">
        <f t="shared" si="30"/>
        <v>9.6004278480400238</v>
      </c>
      <c r="H96" s="8">
        <f t="shared" si="31"/>
        <v>0</v>
      </c>
      <c r="I96" s="8">
        <f t="shared" si="32"/>
        <v>0</v>
      </c>
      <c r="J96" s="8">
        <f t="shared" si="33"/>
        <v>0</v>
      </c>
      <c r="K96" s="8">
        <f t="shared" si="34"/>
        <v>0</v>
      </c>
      <c r="L96" s="8">
        <f t="shared" si="35"/>
        <v>0</v>
      </c>
      <c r="M96" s="8">
        <f t="shared" si="36"/>
        <v>0</v>
      </c>
      <c r="N96" s="8">
        <f t="shared" si="37"/>
        <v>0</v>
      </c>
      <c r="O96" s="8">
        <f t="shared" si="38"/>
        <v>0</v>
      </c>
      <c r="P96" s="8">
        <f t="shared" si="39"/>
        <v>0</v>
      </c>
      <c r="Q96" s="8">
        <f t="shared" si="40"/>
        <v>1</v>
      </c>
      <c r="R96" s="8">
        <f t="shared" si="41"/>
        <v>0</v>
      </c>
    </row>
    <row r="97" spans="1:18" ht="21" customHeight="1">
      <c r="A97" s="2">
        <v>43070</v>
      </c>
      <c r="B97" s="4">
        <v>9247</v>
      </c>
      <c r="C97" s="5">
        <v>2.4769999999999999</v>
      </c>
      <c r="D97" s="6">
        <v>14797.9</v>
      </c>
      <c r="E97" s="7">
        <f t="shared" si="28"/>
        <v>9.1320544535776378</v>
      </c>
      <c r="F97" s="7">
        <f t="shared" si="29"/>
        <v>0.90704815050722243</v>
      </c>
      <c r="G97" s="7">
        <f t="shared" si="30"/>
        <v>9.6022405577927081</v>
      </c>
      <c r="H97" s="8">
        <f t="shared" si="31"/>
        <v>0</v>
      </c>
      <c r="I97" s="8">
        <f t="shared" si="32"/>
        <v>0</v>
      </c>
      <c r="J97" s="8">
        <f t="shared" si="33"/>
        <v>0</v>
      </c>
      <c r="K97" s="8">
        <f t="shared" si="34"/>
        <v>0</v>
      </c>
      <c r="L97" s="8">
        <f t="shared" si="35"/>
        <v>0</v>
      </c>
      <c r="M97" s="8">
        <f t="shared" si="36"/>
        <v>0</v>
      </c>
      <c r="N97" s="8">
        <f t="shared" si="37"/>
        <v>0</v>
      </c>
      <c r="O97" s="8">
        <f t="shared" si="38"/>
        <v>0</v>
      </c>
      <c r="P97" s="8">
        <f t="shared" si="39"/>
        <v>0</v>
      </c>
      <c r="Q97" s="8">
        <f t="shared" si="40"/>
        <v>0</v>
      </c>
      <c r="R97" s="8">
        <f t="shared" si="41"/>
        <v>1</v>
      </c>
    </row>
    <row r="98" spans="1:18" ht="21" customHeight="1">
      <c r="A98" s="2">
        <v>43101</v>
      </c>
      <c r="B98" s="4">
        <v>8788</v>
      </c>
      <c r="C98" s="5">
        <v>2.5550000000000002</v>
      </c>
      <c r="D98" s="6">
        <v>14886.6</v>
      </c>
      <c r="E98" s="7">
        <f t="shared" ref="E98:E129" si="42">LN(B98)</f>
        <v>9.0811424335045015</v>
      </c>
      <c r="F98" s="7">
        <f t="shared" ref="F98:F129" si="43">LN(C98)</f>
        <v>0.93805222365566787</v>
      </c>
      <c r="G98" s="7">
        <f t="shared" ref="G98:G129" si="44">LN(D98)</f>
        <v>9.6082167584356721</v>
      </c>
      <c r="H98" s="8">
        <f t="shared" ref="H98:H129" si="45">IF(MONTH($A98)=2,1,0)</f>
        <v>0</v>
      </c>
      <c r="I98" s="8">
        <f t="shared" ref="I98:I129" si="46">IF(MONTH($A98)=3,1,0)</f>
        <v>0</v>
      </c>
      <c r="J98" s="8">
        <f t="shared" ref="J98:J129" si="47">IF(MONTH($A98)=4,1,0)</f>
        <v>0</v>
      </c>
      <c r="K98" s="8">
        <f t="shared" ref="K98:K129" si="48">IF(MONTH($A98)=5,1,0)</f>
        <v>0</v>
      </c>
      <c r="L98" s="8">
        <f t="shared" ref="L98:L129" si="49">IF(MONTH($A98)=6,1,0)</f>
        <v>0</v>
      </c>
      <c r="M98" s="8">
        <f t="shared" ref="M98:M129" si="50">IF(MONTH($A98)=7,1,0)</f>
        <v>0</v>
      </c>
      <c r="N98" s="8">
        <f t="shared" ref="N98:N129" si="51">IF(MONTH($A98)=8,1,0)</f>
        <v>0</v>
      </c>
      <c r="O98" s="8">
        <f t="shared" ref="O98:O129" si="52">IF(MONTH($A98)=9,1,0)</f>
        <v>0</v>
      </c>
      <c r="P98" s="8">
        <f t="shared" ref="P98:P129" si="53">IF(MONTH($A98)=10,1,0)</f>
        <v>0</v>
      </c>
      <c r="Q98" s="8">
        <f t="shared" ref="Q98:Q129" si="54">IF(MONTH($A98)=11,1,0)</f>
        <v>0</v>
      </c>
      <c r="R98" s="8">
        <f t="shared" ref="R98:R129" si="55">IF(MONTH($A98)=12,1,0)</f>
        <v>0</v>
      </c>
    </row>
    <row r="99" spans="1:18" ht="21" customHeight="1">
      <c r="A99" s="2">
        <v>43132</v>
      </c>
      <c r="B99" s="4">
        <v>8796</v>
      </c>
      <c r="C99" s="5">
        <v>2.5870000000000002</v>
      </c>
      <c r="D99" s="6">
        <v>14921.1</v>
      </c>
      <c r="E99" s="7">
        <f t="shared" si="42"/>
        <v>9.0820523516746512</v>
      </c>
      <c r="F99" s="7">
        <f t="shared" si="43"/>
        <v>0.95049890320389219</v>
      </c>
      <c r="G99" s="7">
        <f t="shared" si="44"/>
        <v>9.6105315975816392</v>
      </c>
      <c r="H99" s="8">
        <f t="shared" si="45"/>
        <v>1</v>
      </c>
      <c r="I99" s="8">
        <f t="shared" si="46"/>
        <v>0</v>
      </c>
      <c r="J99" s="8">
        <f t="shared" si="47"/>
        <v>0</v>
      </c>
      <c r="K99" s="8">
        <f t="shared" si="48"/>
        <v>0</v>
      </c>
      <c r="L99" s="8">
        <f t="shared" si="49"/>
        <v>0</v>
      </c>
      <c r="M99" s="8">
        <f t="shared" si="50"/>
        <v>0</v>
      </c>
      <c r="N99" s="8">
        <f t="shared" si="51"/>
        <v>0</v>
      </c>
      <c r="O99" s="8">
        <f t="shared" si="52"/>
        <v>0</v>
      </c>
      <c r="P99" s="8">
        <f t="shared" si="53"/>
        <v>0</v>
      </c>
      <c r="Q99" s="8">
        <f t="shared" si="54"/>
        <v>0</v>
      </c>
      <c r="R99" s="8">
        <f t="shared" si="55"/>
        <v>0</v>
      </c>
    </row>
    <row r="100" spans="1:18" ht="21" customHeight="1">
      <c r="A100" s="2">
        <v>43160</v>
      </c>
      <c r="B100" s="4">
        <v>9465</v>
      </c>
      <c r="C100" s="5">
        <v>2.5910000000000002</v>
      </c>
      <c r="D100" s="6">
        <v>14974.8</v>
      </c>
      <c r="E100" s="7">
        <f t="shared" si="42"/>
        <v>9.1553560636434224</v>
      </c>
      <c r="F100" s="7">
        <f t="shared" si="43"/>
        <v>0.95204390157997298</v>
      </c>
      <c r="G100" s="7">
        <f t="shared" si="44"/>
        <v>9.6141240673018089</v>
      </c>
      <c r="H100" s="8">
        <f t="shared" si="45"/>
        <v>0</v>
      </c>
      <c r="I100" s="8">
        <f t="shared" si="46"/>
        <v>1</v>
      </c>
      <c r="J100" s="8">
        <f t="shared" si="47"/>
        <v>0</v>
      </c>
      <c r="K100" s="8">
        <f t="shared" si="48"/>
        <v>0</v>
      </c>
      <c r="L100" s="8">
        <f t="shared" si="49"/>
        <v>0</v>
      </c>
      <c r="M100" s="8">
        <f t="shared" si="50"/>
        <v>0</v>
      </c>
      <c r="N100" s="8">
        <f t="shared" si="51"/>
        <v>0</v>
      </c>
      <c r="O100" s="8">
        <f t="shared" si="52"/>
        <v>0</v>
      </c>
      <c r="P100" s="8">
        <f t="shared" si="53"/>
        <v>0</v>
      </c>
      <c r="Q100" s="8">
        <f t="shared" si="54"/>
        <v>0</v>
      </c>
      <c r="R100" s="8">
        <f t="shared" si="55"/>
        <v>0</v>
      </c>
    </row>
    <row r="101" spans="1:18" ht="21" customHeight="1">
      <c r="A101" s="2">
        <v>43191</v>
      </c>
      <c r="B101" s="4">
        <v>9206</v>
      </c>
      <c r="C101" s="5">
        <v>2.7570000000000001</v>
      </c>
      <c r="D101" s="6">
        <v>15007.2</v>
      </c>
      <c r="E101" s="7">
        <f t="shared" si="42"/>
        <v>9.1276107243771865</v>
      </c>
      <c r="F101" s="7">
        <f t="shared" si="43"/>
        <v>1.0141431320416596</v>
      </c>
      <c r="G101" s="7">
        <f t="shared" si="44"/>
        <v>9.6162853649211986</v>
      </c>
      <c r="H101" s="8">
        <f t="shared" si="45"/>
        <v>0</v>
      </c>
      <c r="I101" s="8">
        <f t="shared" si="46"/>
        <v>0</v>
      </c>
      <c r="J101" s="8">
        <f t="shared" si="47"/>
        <v>1</v>
      </c>
      <c r="K101" s="8">
        <f t="shared" si="48"/>
        <v>0</v>
      </c>
      <c r="L101" s="8">
        <f t="shared" si="49"/>
        <v>0</v>
      </c>
      <c r="M101" s="8">
        <f t="shared" si="50"/>
        <v>0</v>
      </c>
      <c r="N101" s="8">
        <f t="shared" si="51"/>
        <v>0</v>
      </c>
      <c r="O101" s="8">
        <f t="shared" si="52"/>
        <v>0</v>
      </c>
      <c r="P101" s="8">
        <f t="shared" si="53"/>
        <v>0</v>
      </c>
      <c r="Q101" s="8">
        <f t="shared" si="54"/>
        <v>0</v>
      </c>
      <c r="R101" s="8">
        <f t="shared" si="55"/>
        <v>0</v>
      </c>
    </row>
    <row r="102" spans="1:18" ht="21" customHeight="1">
      <c r="A102" s="2">
        <v>43221</v>
      </c>
      <c r="B102" s="4">
        <v>9515</v>
      </c>
      <c r="C102" s="5">
        <v>2.9009999999999998</v>
      </c>
      <c r="D102" s="6">
        <v>15057.8</v>
      </c>
      <c r="E102" s="7">
        <f t="shared" si="42"/>
        <v>9.1606247797302505</v>
      </c>
      <c r="F102" s="7">
        <f t="shared" si="43"/>
        <v>1.0650555051392669</v>
      </c>
      <c r="G102" s="7">
        <f t="shared" si="44"/>
        <v>9.6196514083455025</v>
      </c>
      <c r="H102" s="8">
        <f t="shared" si="45"/>
        <v>0</v>
      </c>
      <c r="I102" s="8">
        <f t="shared" si="46"/>
        <v>0</v>
      </c>
      <c r="J102" s="8">
        <f t="shared" si="47"/>
        <v>0</v>
      </c>
      <c r="K102" s="8">
        <f t="shared" si="48"/>
        <v>1</v>
      </c>
      <c r="L102" s="8">
        <f t="shared" si="49"/>
        <v>0</v>
      </c>
      <c r="M102" s="8">
        <f t="shared" si="50"/>
        <v>0</v>
      </c>
      <c r="N102" s="8">
        <f t="shared" si="51"/>
        <v>0</v>
      </c>
      <c r="O102" s="8">
        <f t="shared" si="52"/>
        <v>0</v>
      </c>
      <c r="P102" s="8">
        <f t="shared" si="53"/>
        <v>0</v>
      </c>
      <c r="Q102" s="8">
        <f t="shared" si="54"/>
        <v>0</v>
      </c>
      <c r="R102" s="8">
        <f t="shared" si="55"/>
        <v>0</v>
      </c>
    </row>
    <row r="103" spans="1:18" ht="21" customHeight="1">
      <c r="A103" s="2">
        <v>43252</v>
      </c>
      <c r="B103" s="4">
        <v>9797</v>
      </c>
      <c r="C103" s="5">
        <v>2.891</v>
      </c>
      <c r="D103" s="6">
        <v>15119.3</v>
      </c>
      <c r="E103" s="7">
        <f t="shared" si="42"/>
        <v>9.1898314953446416</v>
      </c>
      <c r="F103" s="7">
        <f t="shared" si="43"/>
        <v>1.0616024630342089</v>
      </c>
      <c r="G103" s="7">
        <f t="shared" si="44"/>
        <v>9.6237273523655205</v>
      </c>
      <c r="H103" s="8">
        <f t="shared" si="45"/>
        <v>0</v>
      </c>
      <c r="I103" s="8">
        <f t="shared" si="46"/>
        <v>0</v>
      </c>
      <c r="J103" s="8">
        <f t="shared" si="47"/>
        <v>0</v>
      </c>
      <c r="K103" s="8">
        <f t="shared" si="48"/>
        <v>0</v>
      </c>
      <c r="L103" s="8">
        <f t="shared" si="49"/>
        <v>1</v>
      </c>
      <c r="M103" s="8">
        <f t="shared" si="50"/>
        <v>0</v>
      </c>
      <c r="N103" s="8">
        <f t="shared" si="51"/>
        <v>0</v>
      </c>
      <c r="O103" s="8">
        <f t="shared" si="52"/>
        <v>0</v>
      </c>
      <c r="P103" s="8">
        <f t="shared" si="53"/>
        <v>0</v>
      </c>
      <c r="Q103" s="8">
        <f t="shared" si="54"/>
        <v>0</v>
      </c>
      <c r="R103" s="8">
        <f t="shared" si="55"/>
        <v>0</v>
      </c>
    </row>
    <row r="104" spans="1:18" ht="21" customHeight="1">
      <c r="A104" s="2">
        <v>43282</v>
      </c>
      <c r="B104" s="4">
        <v>9640</v>
      </c>
      <c r="C104" s="5">
        <v>2.8490000000000002</v>
      </c>
      <c r="D104" s="6">
        <v>15184.7</v>
      </c>
      <c r="E104" s="7">
        <f t="shared" si="42"/>
        <v>9.1736763876045906</v>
      </c>
      <c r="F104" s="7">
        <f t="shared" si="43"/>
        <v>1.0469680555157712</v>
      </c>
      <c r="G104" s="7">
        <f t="shared" si="44"/>
        <v>9.6280436209461975</v>
      </c>
      <c r="H104" s="8">
        <f t="shared" si="45"/>
        <v>0</v>
      </c>
      <c r="I104" s="8">
        <f t="shared" si="46"/>
        <v>0</v>
      </c>
      <c r="J104" s="8">
        <f t="shared" si="47"/>
        <v>0</v>
      </c>
      <c r="K104" s="8">
        <f t="shared" si="48"/>
        <v>0</v>
      </c>
      <c r="L104" s="8">
        <f t="shared" si="49"/>
        <v>0</v>
      </c>
      <c r="M104" s="8">
        <f t="shared" si="50"/>
        <v>1</v>
      </c>
      <c r="N104" s="8">
        <f t="shared" si="51"/>
        <v>0</v>
      </c>
      <c r="O104" s="8">
        <f t="shared" si="52"/>
        <v>0</v>
      </c>
      <c r="P104" s="8">
        <f t="shared" si="53"/>
        <v>0</v>
      </c>
      <c r="Q104" s="8">
        <f t="shared" si="54"/>
        <v>0</v>
      </c>
      <c r="R104" s="8">
        <f t="shared" si="55"/>
        <v>0</v>
      </c>
    </row>
    <row r="105" spans="1:18" ht="21" customHeight="1">
      <c r="A105" s="2">
        <v>43313</v>
      </c>
      <c r="B105" s="4">
        <v>9778</v>
      </c>
      <c r="C105" s="5">
        <v>2.8359999999999999</v>
      </c>
      <c r="D105" s="6">
        <v>15238.6</v>
      </c>
      <c r="E105" s="7">
        <f t="shared" si="42"/>
        <v>9.1878902431385914</v>
      </c>
      <c r="F105" s="7">
        <f t="shared" si="43"/>
        <v>1.042394608669881</v>
      </c>
      <c r="G105" s="7">
        <f t="shared" si="44"/>
        <v>9.6315869615038654</v>
      </c>
      <c r="H105" s="8">
        <f t="shared" si="45"/>
        <v>0</v>
      </c>
      <c r="I105" s="8">
        <f t="shared" si="46"/>
        <v>0</v>
      </c>
      <c r="J105" s="8">
        <f t="shared" si="47"/>
        <v>0</v>
      </c>
      <c r="K105" s="8">
        <f t="shared" si="48"/>
        <v>0</v>
      </c>
      <c r="L105" s="8">
        <f t="shared" si="49"/>
        <v>0</v>
      </c>
      <c r="M105" s="8">
        <f t="shared" si="50"/>
        <v>0</v>
      </c>
      <c r="N105" s="8">
        <f t="shared" si="51"/>
        <v>1</v>
      </c>
      <c r="O105" s="8">
        <f t="shared" si="52"/>
        <v>0</v>
      </c>
      <c r="P105" s="8">
        <f t="shared" si="53"/>
        <v>0</v>
      </c>
      <c r="Q105" s="8">
        <f t="shared" si="54"/>
        <v>0</v>
      </c>
      <c r="R105" s="8">
        <f t="shared" si="55"/>
        <v>0</v>
      </c>
    </row>
    <row r="106" spans="1:18" ht="21" customHeight="1">
      <c r="A106" s="2">
        <v>43344</v>
      </c>
      <c r="B106" s="4">
        <v>9153</v>
      </c>
      <c r="C106" s="5">
        <v>2.8359999999999999</v>
      </c>
      <c r="D106" s="6">
        <v>15237.5</v>
      </c>
      <c r="E106" s="7">
        <f t="shared" si="42"/>
        <v>9.1218369733847791</v>
      </c>
      <c r="F106" s="7">
        <f t="shared" si="43"/>
        <v>1.042394608669881</v>
      </c>
      <c r="G106" s="7">
        <f t="shared" si="44"/>
        <v>9.6315147737895277</v>
      </c>
      <c r="H106" s="8">
        <f t="shared" si="45"/>
        <v>0</v>
      </c>
      <c r="I106" s="8">
        <f t="shared" si="46"/>
        <v>0</v>
      </c>
      <c r="J106" s="8">
        <f t="shared" si="47"/>
        <v>0</v>
      </c>
      <c r="K106" s="8">
        <f t="shared" si="48"/>
        <v>0</v>
      </c>
      <c r="L106" s="8">
        <f t="shared" si="49"/>
        <v>0</v>
      </c>
      <c r="M106" s="8">
        <f t="shared" si="50"/>
        <v>0</v>
      </c>
      <c r="N106" s="8">
        <f t="shared" si="51"/>
        <v>0</v>
      </c>
      <c r="O106" s="8">
        <f t="shared" si="52"/>
        <v>1</v>
      </c>
      <c r="P106" s="8">
        <f t="shared" si="53"/>
        <v>0</v>
      </c>
      <c r="Q106" s="8">
        <f t="shared" si="54"/>
        <v>0</v>
      </c>
      <c r="R106" s="8">
        <f t="shared" si="55"/>
        <v>0</v>
      </c>
    </row>
    <row r="107" spans="1:18" ht="21" customHeight="1">
      <c r="A107" s="2">
        <v>43374</v>
      </c>
      <c r="B107" s="4">
        <v>9294</v>
      </c>
      <c r="C107" s="5">
        <v>2.86</v>
      </c>
      <c r="D107" s="6">
        <v>15274.1</v>
      </c>
      <c r="E107" s="7">
        <f t="shared" si="42"/>
        <v>9.1371243096449231</v>
      </c>
      <c r="F107" s="7">
        <f t="shared" si="43"/>
        <v>1.0508216248317612</v>
      </c>
      <c r="G107" s="7">
        <f t="shared" si="44"/>
        <v>9.6339138625003553</v>
      </c>
      <c r="H107" s="8">
        <f t="shared" si="45"/>
        <v>0</v>
      </c>
      <c r="I107" s="8">
        <f t="shared" si="46"/>
        <v>0</v>
      </c>
      <c r="J107" s="8">
        <f t="shared" si="47"/>
        <v>0</v>
      </c>
      <c r="K107" s="8">
        <f t="shared" si="48"/>
        <v>0</v>
      </c>
      <c r="L107" s="8">
        <f t="shared" si="49"/>
        <v>0</v>
      </c>
      <c r="M107" s="8">
        <f t="shared" si="50"/>
        <v>0</v>
      </c>
      <c r="N107" s="8">
        <f t="shared" si="51"/>
        <v>0</v>
      </c>
      <c r="O107" s="8">
        <f t="shared" si="52"/>
        <v>0</v>
      </c>
      <c r="P107" s="8">
        <f t="shared" si="53"/>
        <v>1</v>
      </c>
      <c r="Q107" s="8">
        <f t="shared" si="54"/>
        <v>0</v>
      </c>
      <c r="R107" s="8">
        <f t="shared" si="55"/>
        <v>0</v>
      </c>
    </row>
    <row r="108" spans="1:18" ht="21" customHeight="1">
      <c r="A108" s="2">
        <v>43405</v>
      </c>
      <c r="B108" s="4">
        <v>9290</v>
      </c>
      <c r="C108" s="5">
        <v>2.6469999999999998</v>
      </c>
      <c r="D108" s="6">
        <v>15315.2</v>
      </c>
      <c r="E108" s="7">
        <f t="shared" si="42"/>
        <v>9.1366938318078841</v>
      </c>
      <c r="F108" s="7">
        <f t="shared" si="43"/>
        <v>0.97342692324496416</v>
      </c>
      <c r="G108" s="7">
        <f t="shared" si="44"/>
        <v>9.6366010782739995</v>
      </c>
      <c r="H108" s="8">
        <f t="shared" si="45"/>
        <v>0</v>
      </c>
      <c r="I108" s="8">
        <f t="shared" si="46"/>
        <v>0</v>
      </c>
      <c r="J108" s="8">
        <f t="shared" si="47"/>
        <v>0</v>
      </c>
      <c r="K108" s="8">
        <f t="shared" si="48"/>
        <v>0</v>
      </c>
      <c r="L108" s="8">
        <f t="shared" si="49"/>
        <v>0</v>
      </c>
      <c r="M108" s="8">
        <f t="shared" si="50"/>
        <v>0</v>
      </c>
      <c r="N108" s="8">
        <f t="shared" si="51"/>
        <v>0</v>
      </c>
      <c r="O108" s="8">
        <f t="shared" si="52"/>
        <v>0</v>
      </c>
      <c r="P108" s="8">
        <f t="shared" si="53"/>
        <v>0</v>
      </c>
      <c r="Q108" s="8">
        <f t="shared" si="54"/>
        <v>1</v>
      </c>
      <c r="R108" s="8">
        <f t="shared" si="55"/>
        <v>0</v>
      </c>
    </row>
    <row r="109" spans="1:18" ht="21" customHeight="1">
      <c r="A109" s="2">
        <v>43435</v>
      </c>
      <c r="B109" s="4">
        <v>9179</v>
      </c>
      <c r="C109" s="5">
        <v>2.3660000000000001</v>
      </c>
      <c r="D109" s="6">
        <v>15506.5</v>
      </c>
      <c r="E109" s="7">
        <f t="shared" si="42"/>
        <v>9.1246735452190908</v>
      </c>
      <c r="F109" s="7">
        <f t="shared" si="43"/>
        <v>0.86120076555619507</v>
      </c>
      <c r="G109" s="7">
        <f t="shared" si="44"/>
        <v>9.6490145698413823</v>
      </c>
      <c r="H109" s="8">
        <f t="shared" si="45"/>
        <v>0</v>
      </c>
      <c r="I109" s="8">
        <f t="shared" si="46"/>
        <v>0</v>
      </c>
      <c r="J109" s="8">
        <f t="shared" si="47"/>
        <v>0</v>
      </c>
      <c r="K109" s="8">
        <f t="shared" si="48"/>
        <v>0</v>
      </c>
      <c r="L109" s="8">
        <f t="shared" si="49"/>
        <v>0</v>
      </c>
      <c r="M109" s="8">
        <f t="shared" si="50"/>
        <v>0</v>
      </c>
      <c r="N109" s="8">
        <f t="shared" si="51"/>
        <v>0</v>
      </c>
      <c r="O109" s="8">
        <f t="shared" si="52"/>
        <v>0</v>
      </c>
      <c r="P109" s="8">
        <f t="shared" si="53"/>
        <v>0</v>
      </c>
      <c r="Q109" s="8">
        <f t="shared" si="54"/>
        <v>0</v>
      </c>
      <c r="R109" s="8">
        <f t="shared" si="55"/>
        <v>1</v>
      </c>
    </row>
    <row r="110" spans="1:18" ht="21" customHeight="1">
      <c r="A110" s="2">
        <v>43466</v>
      </c>
      <c r="B110" s="4">
        <v>8778</v>
      </c>
      <c r="C110" s="5">
        <v>2.2480000000000002</v>
      </c>
      <c r="D110" s="6">
        <v>15536.3</v>
      </c>
      <c r="E110" s="7">
        <f t="shared" si="42"/>
        <v>9.0800038702481789</v>
      </c>
      <c r="F110" s="7">
        <f t="shared" si="43"/>
        <v>0.81004093203144478</v>
      </c>
      <c r="G110" s="7">
        <f t="shared" si="44"/>
        <v>9.6509345003343725</v>
      </c>
      <c r="H110" s="8">
        <f t="shared" si="45"/>
        <v>0</v>
      </c>
      <c r="I110" s="8">
        <f t="shared" si="46"/>
        <v>0</v>
      </c>
      <c r="J110" s="8">
        <f t="shared" si="47"/>
        <v>0</v>
      </c>
      <c r="K110" s="8">
        <f t="shared" si="48"/>
        <v>0</v>
      </c>
      <c r="L110" s="8">
        <f t="shared" si="49"/>
        <v>0</v>
      </c>
      <c r="M110" s="8">
        <f t="shared" si="50"/>
        <v>0</v>
      </c>
      <c r="N110" s="8">
        <f t="shared" si="51"/>
        <v>0</v>
      </c>
      <c r="O110" s="8">
        <f t="shared" si="52"/>
        <v>0</v>
      </c>
      <c r="P110" s="8">
        <f t="shared" si="53"/>
        <v>0</v>
      </c>
      <c r="Q110" s="8">
        <f t="shared" si="54"/>
        <v>0</v>
      </c>
      <c r="R110" s="8">
        <f t="shared" si="55"/>
        <v>0</v>
      </c>
    </row>
    <row r="111" spans="1:18" ht="21" customHeight="1">
      <c r="A111" s="2">
        <v>43497</v>
      </c>
      <c r="B111" s="4">
        <v>9072</v>
      </c>
      <c r="C111" s="5">
        <v>2.3090000000000002</v>
      </c>
      <c r="D111" s="6">
        <v>15560.4</v>
      </c>
      <c r="E111" s="7">
        <f t="shared" si="42"/>
        <v>9.1129480259675333</v>
      </c>
      <c r="F111" s="7">
        <f t="shared" si="43"/>
        <v>0.83681453037235842</v>
      </c>
      <c r="G111" s="7">
        <f t="shared" si="44"/>
        <v>9.6524845043428389</v>
      </c>
      <c r="H111" s="8">
        <f t="shared" si="45"/>
        <v>1</v>
      </c>
      <c r="I111" s="8">
        <f t="shared" si="46"/>
        <v>0</v>
      </c>
      <c r="J111" s="8">
        <f t="shared" si="47"/>
        <v>0</v>
      </c>
      <c r="K111" s="8">
        <f t="shared" si="48"/>
        <v>0</v>
      </c>
      <c r="L111" s="8">
        <f t="shared" si="49"/>
        <v>0</v>
      </c>
      <c r="M111" s="8">
        <f t="shared" si="50"/>
        <v>0</v>
      </c>
      <c r="N111" s="8">
        <f t="shared" si="51"/>
        <v>0</v>
      </c>
      <c r="O111" s="8">
        <f t="shared" si="52"/>
        <v>0</v>
      </c>
      <c r="P111" s="8">
        <f t="shared" si="53"/>
        <v>0</v>
      </c>
      <c r="Q111" s="8">
        <f t="shared" si="54"/>
        <v>0</v>
      </c>
      <c r="R111" s="8">
        <f t="shared" si="55"/>
        <v>0</v>
      </c>
    </row>
    <row r="112" spans="1:18" ht="21" customHeight="1">
      <c r="A112" s="2">
        <v>43525</v>
      </c>
      <c r="B112" s="4">
        <v>9184</v>
      </c>
      <c r="C112" s="5">
        <v>2.516</v>
      </c>
      <c r="D112" s="6">
        <v>15566.5</v>
      </c>
      <c r="E112" s="7">
        <f t="shared" si="42"/>
        <v>9.1252181185593475</v>
      </c>
      <c r="F112" s="7">
        <f t="shared" si="43"/>
        <v>0.92267033883819405</v>
      </c>
      <c r="G112" s="7">
        <f t="shared" si="44"/>
        <v>9.6528764482934477</v>
      </c>
      <c r="H112" s="8">
        <f t="shared" si="45"/>
        <v>0</v>
      </c>
      <c r="I112" s="8">
        <f t="shared" si="46"/>
        <v>1</v>
      </c>
      <c r="J112" s="8">
        <f t="shared" si="47"/>
        <v>0</v>
      </c>
      <c r="K112" s="8">
        <f t="shared" si="48"/>
        <v>0</v>
      </c>
      <c r="L112" s="8">
        <f t="shared" si="49"/>
        <v>0</v>
      </c>
      <c r="M112" s="8">
        <f t="shared" si="50"/>
        <v>0</v>
      </c>
      <c r="N112" s="8">
        <f t="shared" si="51"/>
        <v>0</v>
      </c>
      <c r="O112" s="8">
        <f t="shared" si="52"/>
        <v>0</v>
      </c>
      <c r="P112" s="8">
        <f t="shared" si="53"/>
        <v>0</v>
      </c>
      <c r="Q112" s="8">
        <f t="shared" si="54"/>
        <v>0</v>
      </c>
      <c r="R112" s="8">
        <f t="shared" si="55"/>
        <v>0</v>
      </c>
    </row>
    <row r="113" spans="1:18" ht="21" customHeight="1">
      <c r="A113" s="2">
        <v>43556</v>
      </c>
      <c r="B113" s="4">
        <v>9411</v>
      </c>
      <c r="C113" s="5">
        <v>2.798</v>
      </c>
      <c r="D113" s="6">
        <v>15534.2</v>
      </c>
      <c r="E113" s="7">
        <f t="shared" si="42"/>
        <v>9.1496344968587877</v>
      </c>
      <c r="F113" s="7">
        <f t="shared" si="43"/>
        <v>1.0289048762432895</v>
      </c>
      <c r="G113" s="7">
        <f t="shared" si="44"/>
        <v>9.6507993238806176</v>
      </c>
      <c r="H113" s="8">
        <f t="shared" si="45"/>
        <v>0</v>
      </c>
      <c r="I113" s="8">
        <f t="shared" si="46"/>
        <v>0</v>
      </c>
      <c r="J113" s="8">
        <f t="shared" si="47"/>
        <v>1</v>
      </c>
      <c r="K113" s="8">
        <f t="shared" si="48"/>
        <v>0</v>
      </c>
      <c r="L113" s="8">
        <f t="shared" si="49"/>
        <v>0</v>
      </c>
      <c r="M113" s="8">
        <f t="shared" si="50"/>
        <v>0</v>
      </c>
      <c r="N113" s="8">
        <f t="shared" si="51"/>
        <v>0</v>
      </c>
      <c r="O113" s="8">
        <f t="shared" si="52"/>
        <v>0</v>
      </c>
      <c r="P113" s="8">
        <f t="shared" si="53"/>
        <v>0</v>
      </c>
      <c r="Q113" s="8">
        <f t="shared" si="54"/>
        <v>0</v>
      </c>
      <c r="R113" s="8">
        <f t="shared" si="55"/>
        <v>0</v>
      </c>
    </row>
    <row r="114" spans="1:18" ht="21" customHeight="1">
      <c r="A114" s="2">
        <v>43586</v>
      </c>
      <c r="B114" s="4">
        <v>9497</v>
      </c>
      <c r="C114" s="5">
        <v>2.859</v>
      </c>
      <c r="D114" s="6">
        <v>15532.4</v>
      </c>
      <c r="E114" s="7">
        <f t="shared" si="42"/>
        <v>9.158731238242952</v>
      </c>
      <c r="F114" s="7">
        <f t="shared" si="43"/>
        <v>1.0504719133401748</v>
      </c>
      <c r="G114" s="7">
        <f t="shared" si="44"/>
        <v>9.6506834438034907</v>
      </c>
      <c r="H114" s="8">
        <f t="shared" si="45"/>
        <v>0</v>
      </c>
      <c r="I114" s="8">
        <f t="shared" si="46"/>
        <v>0</v>
      </c>
      <c r="J114" s="8">
        <f t="shared" si="47"/>
        <v>0</v>
      </c>
      <c r="K114" s="8">
        <f t="shared" si="48"/>
        <v>1</v>
      </c>
      <c r="L114" s="8">
        <f t="shared" si="49"/>
        <v>0</v>
      </c>
      <c r="M114" s="8">
        <f t="shared" si="50"/>
        <v>0</v>
      </c>
      <c r="N114" s="8">
        <f t="shared" si="51"/>
        <v>0</v>
      </c>
      <c r="O114" s="8">
        <f t="shared" si="52"/>
        <v>0</v>
      </c>
      <c r="P114" s="8">
        <f t="shared" si="53"/>
        <v>0</v>
      </c>
      <c r="Q114" s="8">
        <f t="shared" si="54"/>
        <v>0</v>
      </c>
      <c r="R114" s="8">
        <f t="shared" si="55"/>
        <v>0</v>
      </c>
    </row>
    <row r="115" spans="1:18" ht="21" customHeight="1">
      <c r="A115" s="2">
        <v>43617</v>
      </c>
      <c r="B115" s="4">
        <v>9703</v>
      </c>
      <c r="C115" s="5">
        <v>2.7160000000000002</v>
      </c>
      <c r="D115" s="6">
        <v>15562.1</v>
      </c>
      <c r="E115" s="7">
        <f t="shared" si="42"/>
        <v>9.1801903950252992</v>
      </c>
      <c r="F115" s="7">
        <f t="shared" si="43"/>
        <v>0.99916020969644981</v>
      </c>
      <c r="G115" s="7">
        <f t="shared" si="44"/>
        <v>9.6525937500654955</v>
      </c>
      <c r="H115" s="8">
        <f t="shared" si="45"/>
        <v>0</v>
      </c>
      <c r="I115" s="8">
        <f t="shared" si="46"/>
        <v>0</v>
      </c>
      <c r="J115" s="8">
        <f t="shared" si="47"/>
        <v>0</v>
      </c>
      <c r="K115" s="8">
        <f t="shared" si="48"/>
        <v>0</v>
      </c>
      <c r="L115" s="8">
        <f t="shared" si="49"/>
        <v>1</v>
      </c>
      <c r="M115" s="8">
        <f t="shared" si="50"/>
        <v>0</v>
      </c>
      <c r="N115" s="8">
        <f t="shared" si="51"/>
        <v>0</v>
      </c>
      <c r="O115" s="8">
        <f t="shared" si="52"/>
        <v>0</v>
      </c>
      <c r="P115" s="8">
        <f t="shared" si="53"/>
        <v>0</v>
      </c>
      <c r="Q115" s="8">
        <f t="shared" si="54"/>
        <v>0</v>
      </c>
      <c r="R115" s="8">
        <f t="shared" si="55"/>
        <v>0</v>
      </c>
    </row>
    <row r="116" spans="1:18" ht="21" customHeight="1">
      <c r="A116" s="2">
        <v>43647</v>
      </c>
      <c r="B116" s="4">
        <v>9533</v>
      </c>
      <c r="C116" s="5">
        <v>2.74</v>
      </c>
      <c r="D116" s="6">
        <v>15581.4</v>
      </c>
      <c r="E116" s="7">
        <f t="shared" si="42"/>
        <v>9.1625147424935776</v>
      </c>
      <c r="F116" s="7">
        <f t="shared" si="43"/>
        <v>1.0079579203999789</v>
      </c>
      <c r="G116" s="7">
        <f t="shared" si="44"/>
        <v>9.6538331741810044</v>
      </c>
      <c r="H116" s="8">
        <f t="shared" si="45"/>
        <v>0</v>
      </c>
      <c r="I116" s="8">
        <f t="shared" si="46"/>
        <v>0</v>
      </c>
      <c r="J116" s="8">
        <f t="shared" si="47"/>
        <v>0</v>
      </c>
      <c r="K116" s="8">
        <f t="shared" si="48"/>
        <v>0</v>
      </c>
      <c r="L116" s="8">
        <f t="shared" si="49"/>
        <v>0</v>
      </c>
      <c r="M116" s="8">
        <f t="shared" si="50"/>
        <v>1</v>
      </c>
      <c r="N116" s="8">
        <f t="shared" si="51"/>
        <v>0</v>
      </c>
      <c r="O116" s="8">
        <f t="shared" si="52"/>
        <v>0</v>
      </c>
      <c r="P116" s="8">
        <f t="shared" si="53"/>
        <v>0</v>
      </c>
      <c r="Q116" s="8">
        <f t="shared" si="54"/>
        <v>0</v>
      </c>
      <c r="R116" s="8">
        <f t="shared" si="55"/>
        <v>0</v>
      </c>
    </row>
    <row r="117" spans="1:18" ht="21" customHeight="1">
      <c r="A117" s="2">
        <v>43678</v>
      </c>
      <c r="B117" s="4">
        <v>9834</v>
      </c>
      <c r="C117" s="5">
        <v>2.621</v>
      </c>
      <c r="D117" s="6">
        <v>15664.3</v>
      </c>
      <c r="E117" s="7">
        <f t="shared" si="42"/>
        <v>9.1936010479718853</v>
      </c>
      <c r="F117" s="7">
        <f t="shared" si="43"/>
        <v>0.96355592434126924</v>
      </c>
      <c r="G117" s="7">
        <f t="shared" si="44"/>
        <v>9.659139516783009</v>
      </c>
      <c r="H117" s="8">
        <f t="shared" si="45"/>
        <v>0</v>
      </c>
      <c r="I117" s="8">
        <f t="shared" si="46"/>
        <v>0</v>
      </c>
      <c r="J117" s="8">
        <f t="shared" si="47"/>
        <v>0</v>
      </c>
      <c r="K117" s="8">
        <f t="shared" si="48"/>
        <v>0</v>
      </c>
      <c r="L117" s="8">
        <f t="shared" si="49"/>
        <v>0</v>
      </c>
      <c r="M117" s="8">
        <f t="shared" si="50"/>
        <v>0</v>
      </c>
      <c r="N117" s="8">
        <f t="shared" si="51"/>
        <v>1</v>
      </c>
      <c r="O117" s="8">
        <f t="shared" si="52"/>
        <v>0</v>
      </c>
      <c r="P117" s="8">
        <f t="shared" si="53"/>
        <v>0</v>
      </c>
      <c r="Q117" s="8">
        <f t="shared" si="54"/>
        <v>0</v>
      </c>
      <c r="R117" s="8">
        <f t="shared" si="55"/>
        <v>0</v>
      </c>
    </row>
    <row r="118" spans="1:18" ht="21" customHeight="1">
      <c r="A118" s="2">
        <v>43709</v>
      </c>
      <c r="B118" s="4">
        <v>9198</v>
      </c>
      <c r="C118" s="5">
        <v>2.5920000000000001</v>
      </c>
      <c r="D118" s="6">
        <v>15697.5</v>
      </c>
      <c r="E118" s="7">
        <f t="shared" si="42"/>
        <v>9.1267413480998698</v>
      </c>
      <c r="F118" s="7">
        <f t="shared" si="43"/>
        <v>0.9524297784900283</v>
      </c>
      <c r="G118" s="7">
        <f t="shared" si="44"/>
        <v>9.6612567429882645</v>
      </c>
      <c r="H118" s="8">
        <f t="shared" si="45"/>
        <v>0</v>
      </c>
      <c r="I118" s="8">
        <f t="shared" si="46"/>
        <v>0</v>
      </c>
      <c r="J118" s="8">
        <f t="shared" si="47"/>
        <v>0</v>
      </c>
      <c r="K118" s="8">
        <f t="shared" si="48"/>
        <v>0</v>
      </c>
      <c r="L118" s="8">
        <f t="shared" si="49"/>
        <v>0</v>
      </c>
      <c r="M118" s="8">
        <f t="shared" si="50"/>
        <v>0</v>
      </c>
      <c r="N118" s="8">
        <f t="shared" si="51"/>
        <v>0</v>
      </c>
      <c r="O118" s="8">
        <f t="shared" si="52"/>
        <v>1</v>
      </c>
      <c r="P118" s="8">
        <f t="shared" si="53"/>
        <v>0</v>
      </c>
      <c r="Q118" s="8">
        <f t="shared" si="54"/>
        <v>0</v>
      </c>
      <c r="R118" s="8">
        <f t="shared" si="55"/>
        <v>0</v>
      </c>
    </row>
    <row r="119" spans="1:18" ht="21" customHeight="1">
      <c r="A119" s="2">
        <v>43739</v>
      </c>
      <c r="B119" s="4">
        <v>9308</v>
      </c>
      <c r="C119" s="5">
        <v>2.6269999999999998</v>
      </c>
      <c r="D119" s="6">
        <v>15718.1</v>
      </c>
      <c r="E119" s="7">
        <f t="shared" si="42"/>
        <v>9.138629524422182</v>
      </c>
      <c r="F119" s="7">
        <f t="shared" si="43"/>
        <v>0.96584251070340277</v>
      </c>
      <c r="G119" s="7">
        <f t="shared" si="44"/>
        <v>9.6625681935384691</v>
      </c>
      <c r="H119" s="8">
        <f t="shared" si="45"/>
        <v>0</v>
      </c>
      <c r="I119" s="8">
        <f t="shared" si="46"/>
        <v>0</v>
      </c>
      <c r="J119" s="8">
        <f t="shared" si="47"/>
        <v>0</v>
      </c>
      <c r="K119" s="8">
        <f t="shared" si="48"/>
        <v>0</v>
      </c>
      <c r="L119" s="8">
        <f t="shared" si="49"/>
        <v>0</v>
      </c>
      <c r="M119" s="8">
        <f t="shared" si="50"/>
        <v>0</v>
      </c>
      <c r="N119" s="8">
        <f t="shared" si="51"/>
        <v>0</v>
      </c>
      <c r="O119" s="8">
        <f t="shared" si="52"/>
        <v>0</v>
      </c>
      <c r="P119" s="8">
        <f t="shared" si="53"/>
        <v>1</v>
      </c>
      <c r="Q119" s="8">
        <f t="shared" si="54"/>
        <v>0</v>
      </c>
      <c r="R119" s="8">
        <f t="shared" si="55"/>
        <v>0</v>
      </c>
    </row>
    <row r="120" spans="1:18" ht="21" customHeight="1">
      <c r="A120" s="2">
        <v>43770</v>
      </c>
      <c r="B120" s="4">
        <v>9209</v>
      </c>
      <c r="C120" s="5">
        <v>2.5979999999999999</v>
      </c>
      <c r="D120" s="6">
        <v>15766.9</v>
      </c>
      <c r="E120" s="7">
        <f t="shared" si="42"/>
        <v>9.1279365457213668</v>
      </c>
      <c r="F120" s="7">
        <f t="shared" si="43"/>
        <v>0.95474191824840771</v>
      </c>
      <c r="G120" s="7">
        <f t="shared" si="44"/>
        <v>9.6656680848567422</v>
      </c>
      <c r="H120" s="8">
        <f t="shared" si="45"/>
        <v>0</v>
      </c>
      <c r="I120" s="8">
        <f t="shared" si="46"/>
        <v>0</v>
      </c>
      <c r="J120" s="8">
        <f t="shared" si="47"/>
        <v>0</v>
      </c>
      <c r="K120" s="8">
        <f t="shared" si="48"/>
        <v>0</v>
      </c>
      <c r="L120" s="8">
        <f t="shared" si="49"/>
        <v>0</v>
      </c>
      <c r="M120" s="8">
        <f t="shared" si="50"/>
        <v>0</v>
      </c>
      <c r="N120" s="8">
        <f t="shared" si="51"/>
        <v>0</v>
      </c>
      <c r="O120" s="8">
        <f t="shared" si="52"/>
        <v>0</v>
      </c>
      <c r="P120" s="8">
        <f t="shared" si="53"/>
        <v>0</v>
      </c>
      <c r="Q120" s="8">
        <f t="shared" si="54"/>
        <v>1</v>
      </c>
      <c r="R120" s="8">
        <f t="shared" si="55"/>
        <v>0</v>
      </c>
    </row>
    <row r="121" spans="1:18" ht="21" customHeight="1">
      <c r="A121" s="2">
        <v>43800</v>
      </c>
      <c r="B121" s="4">
        <v>8971</v>
      </c>
      <c r="C121" s="5">
        <v>2.5550000000000002</v>
      </c>
      <c r="D121" s="6">
        <v>15683.8</v>
      </c>
      <c r="E121" s="7">
        <f t="shared" si="42"/>
        <v>9.1017524315592837</v>
      </c>
      <c r="F121" s="7">
        <f t="shared" si="43"/>
        <v>0.93805222365566787</v>
      </c>
      <c r="G121" s="7">
        <f t="shared" si="44"/>
        <v>9.6603836114818993</v>
      </c>
      <c r="H121" s="8">
        <f t="shared" si="45"/>
        <v>0</v>
      </c>
      <c r="I121" s="8">
        <f t="shared" si="46"/>
        <v>0</v>
      </c>
      <c r="J121" s="8">
        <f t="shared" si="47"/>
        <v>0</v>
      </c>
      <c r="K121" s="8">
        <f t="shared" si="48"/>
        <v>0</v>
      </c>
      <c r="L121" s="8">
        <f t="shared" si="49"/>
        <v>0</v>
      </c>
      <c r="M121" s="8">
        <f t="shared" si="50"/>
        <v>0</v>
      </c>
      <c r="N121" s="8">
        <f t="shared" si="51"/>
        <v>0</v>
      </c>
      <c r="O121" s="8">
        <f t="shared" si="52"/>
        <v>0</v>
      </c>
      <c r="P121" s="8">
        <f t="shared" si="53"/>
        <v>0</v>
      </c>
      <c r="Q121" s="8">
        <f t="shared" si="54"/>
        <v>0</v>
      </c>
      <c r="R121" s="8">
        <f t="shared" si="55"/>
        <v>1</v>
      </c>
    </row>
    <row r="122" spans="1:18" ht="21" customHeight="1">
      <c r="A122" s="2">
        <v>43831</v>
      </c>
      <c r="B122" s="4">
        <v>8724</v>
      </c>
      <c r="C122" s="5">
        <v>2.548</v>
      </c>
      <c r="D122" s="6">
        <v>15842.8</v>
      </c>
      <c r="E122" s="7">
        <f t="shared" si="42"/>
        <v>9.0738331273215191</v>
      </c>
      <c r="F122" s="7">
        <f t="shared" si="43"/>
        <v>0.93530873770991696</v>
      </c>
      <c r="G122" s="7">
        <f t="shared" si="44"/>
        <v>9.6704704174236191</v>
      </c>
      <c r="H122" s="8">
        <f t="shared" si="45"/>
        <v>0</v>
      </c>
      <c r="I122" s="8">
        <f t="shared" si="46"/>
        <v>0</v>
      </c>
      <c r="J122" s="8">
        <f t="shared" si="47"/>
        <v>0</v>
      </c>
      <c r="K122" s="8">
        <f t="shared" si="48"/>
        <v>0</v>
      </c>
      <c r="L122" s="8">
        <f t="shared" si="49"/>
        <v>0</v>
      </c>
      <c r="M122" s="8">
        <f t="shared" si="50"/>
        <v>0</v>
      </c>
      <c r="N122" s="8">
        <f t="shared" si="51"/>
        <v>0</v>
      </c>
      <c r="O122" s="8">
        <f t="shared" si="52"/>
        <v>0</v>
      </c>
      <c r="P122" s="8">
        <f t="shared" si="53"/>
        <v>0</v>
      </c>
      <c r="Q122" s="8">
        <f t="shared" si="54"/>
        <v>0</v>
      </c>
      <c r="R122" s="8">
        <f t="shared" si="55"/>
        <v>0</v>
      </c>
    </row>
    <row r="123" spans="1:18" ht="21" customHeight="1">
      <c r="A123" s="2">
        <v>43862</v>
      </c>
      <c r="B123" s="4">
        <v>9050</v>
      </c>
      <c r="C123" s="5">
        <v>2.4420000000000002</v>
      </c>
      <c r="D123" s="6">
        <v>15900.3</v>
      </c>
      <c r="E123" s="7">
        <f t="shared" si="42"/>
        <v>9.1105200366939716</v>
      </c>
      <c r="F123" s="7">
        <f t="shared" si="43"/>
        <v>0.89281737568851305</v>
      </c>
      <c r="G123" s="7">
        <f t="shared" si="44"/>
        <v>9.6740932559548547</v>
      </c>
      <c r="H123" s="8">
        <f t="shared" si="45"/>
        <v>1</v>
      </c>
      <c r="I123" s="8">
        <f t="shared" si="46"/>
        <v>0</v>
      </c>
      <c r="J123" s="8">
        <f t="shared" si="47"/>
        <v>0</v>
      </c>
      <c r="K123" s="8">
        <f t="shared" si="48"/>
        <v>0</v>
      </c>
      <c r="L123" s="8">
        <f t="shared" si="49"/>
        <v>0</v>
      </c>
      <c r="M123" s="8">
        <f t="shared" si="50"/>
        <v>0</v>
      </c>
      <c r="N123" s="8">
        <f t="shared" si="51"/>
        <v>0</v>
      </c>
      <c r="O123" s="8">
        <f t="shared" si="52"/>
        <v>0</v>
      </c>
      <c r="P123" s="8">
        <f t="shared" si="53"/>
        <v>0</v>
      </c>
      <c r="Q123" s="8">
        <f t="shared" si="54"/>
        <v>0</v>
      </c>
      <c r="R123" s="8">
        <f t="shared" si="55"/>
        <v>0</v>
      </c>
    </row>
    <row r="124" spans="1:18" ht="21" customHeight="1">
      <c r="A124" s="2">
        <v>43891</v>
      </c>
      <c r="B124" s="4">
        <v>7779</v>
      </c>
      <c r="C124" s="5">
        <v>2.234</v>
      </c>
      <c r="D124" s="6">
        <v>15702.3</v>
      </c>
      <c r="E124" s="7">
        <f t="shared" si="42"/>
        <v>8.9591830742067735</v>
      </c>
      <c r="F124" s="7">
        <f t="shared" si="43"/>
        <v>0.80379370064700895</v>
      </c>
      <c r="G124" s="7">
        <f t="shared" si="44"/>
        <v>9.6615624774220752</v>
      </c>
      <c r="H124" s="8">
        <f t="shared" si="45"/>
        <v>0</v>
      </c>
      <c r="I124" s="8">
        <f t="shared" si="46"/>
        <v>1</v>
      </c>
      <c r="J124" s="8">
        <f t="shared" si="47"/>
        <v>0</v>
      </c>
      <c r="K124" s="8">
        <f t="shared" si="48"/>
        <v>0</v>
      </c>
      <c r="L124" s="8">
        <f t="shared" si="49"/>
        <v>0</v>
      </c>
      <c r="M124" s="8">
        <f t="shared" si="50"/>
        <v>0</v>
      </c>
      <c r="N124" s="8">
        <f t="shared" si="51"/>
        <v>0</v>
      </c>
      <c r="O124" s="8">
        <f t="shared" si="52"/>
        <v>0</v>
      </c>
      <c r="P124" s="8">
        <f t="shared" si="53"/>
        <v>0</v>
      </c>
      <c r="Q124" s="8">
        <f t="shared" si="54"/>
        <v>0</v>
      </c>
      <c r="R124" s="8">
        <f t="shared" si="55"/>
        <v>0</v>
      </c>
    </row>
    <row r="125" spans="1:18" ht="21" customHeight="1">
      <c r="A125" s="2">
        <v>43922</v>
      </c>
      <c r="B125" s="4">
        <v>5866</v>
      </c>
      <c r="C125" s="5">
        <v>1.841</v>
      </c>
      <c r="D125" s="6">
        <v>18015.3</v>
      </c>
      <c r="E125" s="7">
        <f t="shared" si="42"/>
        <v>8.6769282495373972</v>
      </c>
      <c r="F125" s="7">
        <f t="shared" si="43"/>
        <v>0.61030890225094081</v>
      </c>
      <c r="G125" s="7">
        <f t="shared" si="44"/>
        <v>9.7989766758328791</v>
      </c>
      <c r="H125" s="8">
        <f t="shared" si="45"/>
        <v>0</v>
      </c>
      <c r="I125" s="8">
        <f t="shared" si="46"/>
        <v>0</v>
      </c>
      <c r="J125" s="8">
        <f t="shared" si="47"/>
        <v>1</v>
      </c>
      <c r="K125" s="8">
        <f t="shared" si="48"/>
        <v>0</v>
      </c>
      <c r="L125" s="8">
        <f t="shared" si="49"/>
        <v>0</v>
      </c>
      <c r="M125" s="8">
        <f t="shared" si="50"/>
        <v>0</v>
      </c>
      <c r="N125" s="8">
        <f t="shared" si="51"/>
        <v>0</v>
      </c>
      <c r="O125" s="8">
        <f t="shared" si="52"/>
        <v>0</v>
      </c>
      <c r="P125" s="8">
        <f t="shared" si="53"/>
        <v>0</v>
      </c>
      <c r="Q125" s="8">
        <f t="shared" si="54"/>
        <v>0</v>
      </c>
      <c r="R125" s="8">
        <f t="shared" si="55"/>
        <v>0</v>
      </c>
    </row>
    <row r="126" spans="1:18" ht="21" customHeight="1">
      <c r="A126" s="2">
        <v>43952</v>
      </c>
      <c r="B126" s="4">
        <v>7198</v>
      </c>
      <c r="C126" s="5">
        <v>1.87</v>
      </c>
      <c r="D126" s="6">
        <v>17110</v>
      </c>
      <c r="E126" s="7">
        <f t="shared" si="42"/>
        <v>8.8815584886389765</v>
      </c>
      <c r="F126" s="7">
        <f t="shared" si="43"/>
        <v>0.62593843086649537</v>
      </c>
      <c r="G126" s="7">
        <f t="shared" si="44"/>
        <v>9.7474183668862384</v>
      </c>
      <c r="H126" s="8">
        <f t="shared" si="45"/>
        <v>0</v>
      </c>
      <c r="I126" s="8">
        <f t="shared" si="46"/>
        <v>0</v>
      </c>
      <c r="J126" s="8">
        <f t="shared" si="47"/>
        <v>0</v>
      </c>
      <c r="K126" s="8">
        <f t="shared" si="48"/>
        <v>1</v>
      </c>
      <c r="L126" s="8">
        <f t="shared" si="49"/>
        <v>0</v>
      </c>
      <c r="M126" s="8">
        <f t="shared" si="50"/>
        <v>0</v>
      </c>
      <c r="N126" s="8">
        <f t="shared" si="51"/>
        <v>0</v>
      </c>
      <c r="O126" s="8">
        <f t="shared" si="52"/>
        <v>0</v>
      </c>
      <c r="P126" s="8">
        <f t="shared" si="53"/>
        <v>0</v>
      </c>
      <c r="Q126" s="8">
        <f t="shared" si="54"/>
        <v>0</v>
      </c>
      <c r="R126" s="8">
        <f t="shared" si="55"/>
        <v>0</v>
      </c>
    </row>
    <row r="127" spans="1:18" ht="21" customHeight="1">
      <c r="A127" s="2">
        <v>43983</v>
      </c>
      <c r="B127" s="4">
        <v>8292</v>
      </c>
      <c r="C127" s="5">
        <v>2.0819999999999999</v>
      </c>
      <c r="D127" s="6">
        <v>17050.2</v>
      </c>
      <c r="E127" s="7">
        <f t="shared" si="42"/>
        <v>9.0230464735556701</v>
      </c>
      <c r="F127" s="7">
        <f t="shared" si="43"/>
        <v>0.7333289701927771</v>
      </c>
      <c r="G127" s="7">
        <f t="shared" si="44"/>
        <v>9.7439172128481424</v>
      </c>
      <c r="H127" s="8">
        <f t="shared" si="45"/>
        <v>0</v>
      </c>
      <c r="I127" s="8">
        <f t="shared" si="46"/>
        <v>0</v>
      </c>
      <c r="J127" s="8">
        <f t="shared" si="47"/>
        <v>0</v>
      </c>
      <c r="K127" s="8">
        <f t="shared" si="48"/>
        <v>0</v>
      </c>
      <c r="L127" s="8">
        <f t="shared" si="49"/>
        <v>1</v>
      </c>
      <c r="M127" s="8">
        <f t="shared" si="50"/>
        <v>0</v>
      </c>
      <c r="N127" s="8">
        <f t="shared" si="51"/>
        <v>0</v>
      </c>
      <c r="O127" s="8">
        <f t="shared" si="52"/>
        <v>0</v>
      </c>
      <c r="P127" s="8">
        <f t="shared" si="53"/>
        <v>0</v>
      </c>
      <c r="Q127" s="8">
        <f t="shared" si="54"/>
        <v>0</v>
      </c>
      <c r="R127" s="8">
        <f t="shared" si="55"/>
        <v>0</v>
      </c>
    </row>
    <row r="128" spans="1:18" ht="21" customHeight="1">
      <c r="A128" s="2">
        <v>44013</v>
      </c>
      <c r="B128" s="4">
        <v>8460</v>
      </c>
      <c r="C128" s="5">
        <v>2.1829999999999998</v>
      </c>
      <c r="D128" s="6">
        <v>17202.900000000001</v>
      </c>
      <c r="E128" s="7">
        <f t="shared" si="42"/>
        <v>9.0431044526002697</v>
      </c>
      <c r="F128" s="7">
        <f t="shared" si="43"/>
        <v>0.78070007756780679</v>
      </c>
      <c r="G128" s="7">
        <f t="shared" si="44"/>
        <v>9.7528332532405404</v>
      </c>
      <c r="H128" s="8">
        <f t="shared" si="45"/>
        <v>0</v>
      </c>
      <c r="I128" s="8">
        <f t="shared" si="46"/>
        <v>0</v>
      </c>
      <c r="J128" s="8">
        <f t="shared" si="47"/>
        <v>0</v>
      </c>
      <c r="K128" s="8">
        <f t="shared" si="48"/>
        <v>0</v>
      </c>
      <c r="L128" s="8">
        <f t="shared" si="49"/>
        <v>0</v>
      </c>
      <c r="M128" s="8">
        <f t="shared" si="50"/>
        <v>1</v>
      </c>
      <c r="N128" s="8">
        <f t="shared" si="51"/>
        <v>0</v>
      </c>
      <c r="O128" s="8">
        <f t="shared" si="52"/>
        <v>0</v>
      </c>
      <c r="P128" s="8">
        <f t="shared" si="53"/>
        <v>0</v>
      </c>
      <c r="Q128" s="8">
        <f t="shared" si="54"/>
        <v>0</v>
      </c>
      <c r="R128" s="8">
        <f t="shared" si="55"/>
        <v>0</v>
      </c>
    </row>
    <row r="129" spans="1:18" ht="21" customHeight="1">
      <c r="A129" s="2">
        <v>44044</v>
      </c>
      <c r="B129" s="4">
        <v>8524</v>
      </c>
      <c r="C129" s="5">
        <v>2.1819999999999999</v>
      </c>
      <c r="D129" s="6">
        <v>16542</v>
      </c>
      <c r="E129" s="7">
        <f t="shared" si="42"/>
        <v>9.0506409932185079</v>
      </c>
      <c r="F129" s="7">
        <f t="shared" si="43"/>
        <v>0.78024188741087908</v>
      </c>
      <c r="G129" s="7">
        <f t="shared" si="44"/>
        <v>9.7136578802518514</v>
      </c>
      <c r="H129" s="8">
        <f t="shared" si="45"/>
        <v>0</v>
      </c>
      <c r="I129" s="8">
        <f t="shared" si="46"/>
        <v>0</v>
      </c>
      <c r="J129" s="8">
        <f t="shared" si="47"/>
        <v>0</v>
      </c>
      <c r="K129" s="8">
        <f t="shared" si="48"/>
        <v>0</v>
      </c>
      <c r="L129" s="8">
        <f t="shared" si="49"/>
        <v>0</v>
      </c>
      <c r="M129" s="8">
        <f t="shared" si="50"/>
        <v>0</v>
      </c>
      <c r="N129" s="8">
        <f t="shared" si="51"/>
        <v>1</v>
      </c>
      <c r="O129" s="8">
        <f t="shared" si="52"/>
        <v>0</v>
      </c>
      <c r="P129" s="8">
        <f t="shared" si="53"/>
        <v>0</v>
      </c>
      <c r="Q129" s="8">
        <f t="shared" si="54"/>
        <v>0</v>
      </c>
      <c r="R129" s="8">
        <f t="shared" si="55"/>
        <v>0</v>
      </c>
    </row>
    <row r="130" spans="1:18" ht="21" customHeight="1">
      <c r="A130" s="2">
        <v>44075</v>
      </c>
      <c r="B130" s="4">
        <v>8541</v>
      </c>
      <c r="C130" s="5">
        <v>2.1829999999999998</v>
      </c>
      <c r="D130" s="6">
        <v>16633.7</v>
      </c>
      <c r="E130" s="7">
        <f t="shared" ref="E130:E161" si="56">LN(B130)</f>
        <v>9.0526333759461473</v>
      </c>
      <c r="F130" s="7">
        <f t="shared" ref="F130:F161" si="57">LN(C130)</f>
        <v>0.78070007756780679</v>
      </c>
      <c r="G130" s="7">
        <f t="shared" ref="G130:G161" si="58">LN(D130)</f>
        <v>9.7191860369167102</v>
      </c>
      <c r="H130" s="8">
        <f t="shared" ref="H130:H161" si="59">IF(MONTH($A130)=2,1,0)</f>
        <v>0</v>
      </c>
      <c r="I130" s="8">
        <f t="shared" ref="I130:I161" si="60">IF(MONTH($A130)=3,1,0)</f>
        <v>0</v>
      </c>
      <c r="J130" s="8">
        <f t="shared" ref="J130:J161" si="61">IF(MONTH($A130)=4,1,0)</f>
        <v>0</v>
      </c>
      <c r="K130" s="8">
        <f t="shared" ref="K130:K161" si="62">IF(MONTH($A130)=5,1,0)</f>
        <v>0</v>
      </c>
      <c r="L130" s="8">
        <f t="shared" ref="L130:L161" si="63">IF(MONTH($A130)=6,1,0)</f>
        <v>0</v>
      </c>
      <c r="M130" s="8">
        <f t="shared" ref="M130:M161" si="64">IF(MONTH($A130)=7,1,0)</f>
        <v>0</v>
      </c>
      <c r="N130" s="8">
        <f t="shared" ref="N130:N161" si="65">IF(MONTH($A130)=8,1,0)</f>
        <v>0</v>
      </c>
      <c r="O130" s="8">
        <f t="shared" ref="O130:O161" si="66">IF(MONTH($A130)=9,1,0)</f>
        <v>1</v>
      </c>
      <c r="P130" s="8">
        <f t="shared" ref="P130:P161" si="67">IF(MONTH($A130)=10,1,0)</f>
        <v>0</v>
      </c>
      <c r="Q130" s="8">
        <f t="shared" ref="Q130:Q161" si="68">IF(MONTH($A130)=11,1,0)</f>
        <v>0</v>
      </c>
      <c r="R130" s="8">
        <f t="shared" ref="R130:R161" si="69">IF(MONTH($A130)=12,1,0)</f>
        <v>0</v>
      </c>
    </row>
    <row r="131" spans="1:18" ht="21" customHeight="1">
      <c r="A131" s="2">
        <v>44105</v>
      </c>
      <c r="B131" s="4">
        <v>8316</v>
      </c>
      <c r="C131" s="5">
        <v>2.1579999999999999</v>
      </c>
      <c r="D131" s="6">
        <v>16573.599999999999</v>
      </c>
      <c r="E131" s="7">
        <f t="shared" si="56"/>
        <v>9.025936648977904</v>
      </c>
      <c r="F131" s="7">
        <f t="shared" si="57"/>
        <v>0.76918186683594292</v>
      </c>
      <c r="G131" s="7">
        <f t="shared" si="58"/>
        <v>9.7155663469316789</v>
      </c>
      <c r="H131" s="8">
        <f t="shared" si="59"/>
        <v>0</v>
      </c>
      <c r="I131" s="8">
        <f t="shared" si="60"/>
        <v>0</v>
      </c>
      <c r="J131" s="8">
        <f t="shared" si="61"/>
        <v>0</v>
      </c>
      <c r="K131" s="8">
        <f t="shared" si="62"/>
        <v>0</v>
      </c>
      <c r="L131" s="8">
        <f t="shared" si="63"/>
        <v>0</v>
      </c>
      <c r="M131" s="8">
        <f t="shared" si="64"/>
        <v>0</v>
      </c>
      <c r="N131" s="8">
        <f t="shared" si="65"/>
        <v>0</v>
      </c>
      <c r="O131" s="8">
        <f t="shared" si="66"/>
        <v>0</v>
      </c>
      <c r="P131" s="8">
        <f t="shared" si="67"/>
        <v>1</v>
      </c>
      <c r="Q131" s="8">
        <f t="shared" si="68"/>
        <v>0</v>
      </c>
      <c r="R131" s="8">
        <f t="shared" si="69"/>
        <v>0</v>
      </c>
    </row>
    <row r="132" spans="1:18" ht="21" customHeight="1">
      <c r="A132" s="2">
        <v>44136</v>
      </c>
      <c r="B132" s="4">
        <v>8001</v>
      </c>
      <c r="C132" s="5">
        <v>2.1080000000000001</v>
      </c>
      <c r="D132" s="6">
        <v>16381.8</v>
      </c>
      <c r="E132" s="7">
        <f t="shared" si="56"/>
        <v>8.9873218128501247</v>
      </c>
      <c r="F132" s="7">
        <f t="shared" si="57"/>
        <v>0.74573963067911597</v>
      </c>
      <c r="G132" s="7">
        <f t="shared" si="58"/>
        <v>9.7039262414794738</v>
      </c>
      <c r="H132" s="8">
        <f t="shared" si="59"/>
        <v>0</v>
      </c>
      <c r="I132" s="8">
        <f t="shared" si="60"/>
        <v>0</v>
      </c>
      <c r="J132" s="8">
        <f t="shared" si="61"/>
        <v>0</v>
      </c>
      <c r="K132" s="8">
        <f t="shared" si="62"/>
        <v>0</v>
      </c>
      <c r="L132" s="8">
        <f t="shared" si="63"/>
        <v>0</v>
      </c>
      <c r="M132" s="8">
        <f t="shared" si="64"/>
        <v>0</v>
      </c>
      <c r="N132" s="8">
        <f t="shared" si="65"/>
        <v>0</v>
      </c>
      <c r="O132" s="8">
        <f t="shared" si="66"/>
        <v>0</v>
      </c>
      <c r="P132" s="8">
        <f t="shared" si="67"/>
        <v>0</v>
      </c>
      <c r="Q132" s="8">
        <f t="shared" si="68"/>
        <v>1</v>
      </c>
      <c r="R132" s="8">
        <f t="shared" si="69"/>
        <v>0</v>
      </c>
    </row>
    <row r="133" spans="1:18" ht="21" customHeight="1">
      <c r="A133" s="2">
        <v>44166</v>
      </c>
      <c r="B133" s="4">
        <v>7855</v>
      </c>
      <c r="C133" s="5">
        <v>2.1949999999999998</v>
      </c>
      <c r="D133" s="6">
        <v>16397.7</v>
      </c>
      <c r="E133" s="7">
        <f t="shared" si="56"/>
        <v>8.9689055506897208</v>
      </c>
      <c r="F133" s="7">
        <f t="shared" si="57"/>
        <v>0.78618204652713464</v>
      </c>
      <c r="G133" s="7">
        <f t="shared" si="58"/>
        <v>9.7048963600747555</v>
      </c>
      <c r="H133" s="8">
        <f t="shared" si="59"/>
        <v>0</v>
      </c>
      <c r="I133" s="8">
        <f t="shared" si="60"/>
        <v>0</v>
      </c>
      <c r="J133" s="8">
        <f t="shared" si="61"/>
        <v>0</v>
      </c>
      <c r="K133" s="8">
        <f t="shared" si="62"/>
        <v>0</v>
      </c>
      <c r="L133" s="8">
        <f t="shared" si="63"/>
        <v>0</v>
      </c>
      <c r="M133" s="8">
        <f t="shared" si="64"/>
        <v>0</v>
      </c>
      <c r="N133" s="8">
        <f t="shared" si="65"/>
        <v>0</v>
      </c>
      <c r="O133" s="8">
        <f t="shared" si="66"/>
        <v>0</v>
      </c>
      <c r="P133" s="8">
        <f t="shared" si="67"/>
        <v>0</v>
      </c>
      <c r="Q133" s="8">
        <f t="shared" si="68"/>
        <v>0</v>
      </c>
      <c r="R133" s="8">
        <f t="shared" si="69"/>
        <v>1</v>
      </c>
    </row>
    <row r="134" spans="1:18" ht="21" customHeight="1">
      <c r="A134" s="2">
        <v>44197</v>
      </c>
      <c r="B134" s="4">
        <v>7723</v>
      </c>
      <c r="C134" s="5">
        <v>2.3340000000000001</v>
      </c>
      <c r="D134" s="6">
        <v>18207.3</v>
      </c>
      <c r="E134" s="7">
        <f t="shared" si="56"/>
        <v>8.9519581685692646</v>
      </c>
      <c r="F134" s="7">
        <f t="shared" si="57"/>
        <v>0.84758353386436425</v>
      </c>
      <c r="G134" s="7">
        <f t="shared" si="58"/>
        <v>9.809577891547324</v>
      </c>
      <c r="H134" s="8">
        <f t="shared" si="59"/>
        <v>0</v>
      </c>
      <c r="I134" s="8">
        <f t="shared" si="60"/>
        <v>0</v>
      </c>
      <c r="J134" s="8">
        <f t="shared" si="61"/>
        <v>0</v>
      </c>
      <c r="K134" s="8">
        <f t="shared" si="62"/>
        <v>0</v>
      </c>
      <c r="L134" s="8">
        <f t="shared" si="63"/>
        <v>0</v>
      </c>
      <c r="M134" s="8">
        <f t="shared" si="64"/>
        <v>0</v>
      </c>
      <c r="N134" s="8">
        <f t="shared" si="65"/>
        <v>0</v>
      </c>
      <c r="O134" s="8">
        <f t="shared" si="66"/>
        <v>0</v>
      </c>
      <c r="P134" s="8">
        <f t="shared" si="67"/>
        <v>0</v>
      </c>
      <c r="Q134" s="8">
        <f t="shared" si="68"/>
        <v>0</v>
      </c>
      <c r="R134" s="8">
        <f t="shared" si="69"/>
        <v>0</v>
      </c>
    </row>
    <row r="135" spans="1:18" ht="21" customHeight="1">
      <c r="A135" s="2">
        <v>44228</v>
      </c>
      <c r="B135" s="4">
        <v>7824</v>
      </c>
      <c r="C135" s="5">
        <v>2.5009999999999999</v>
      </c>
      <c r="D135" s="6">
        <v>16695.599999999999</v>
      </c>
      <c r="E135" s="7">
        <f t="shared" si="56"/>
        <v>8.9649512117146539</v>
      </c>
      <c r="F135" s="7">
        <f t="shared" si="57"/>
        <v>0.91669065189548193</v>
      </c>
      <c r="G135" s="7">
        <f t="shared" si="58"/>
        <v>9.7229004906358316</v>
      </c>
      <c r="H135" s="8">
        <f t="shared" si="59"/>
        <v>1</v>
      </c>
      <c r="I135" s="8">
        <f t="shared" si="60"/>
        <v>0</v>
      </c>
      <c r="J135" s="8">
        <f t="shared" si="61"/>
        <v>0</v>
      </c>
      <c r="K135" s="8">
        <f t="shared" si="62"/>
        <v>0</v>
      </c>
      <c r="L135" s="8">
        <f t="shared" si="63"/>
        <v>0</v>
      </c>
      <c r="M135" s="8">
        <f t="shared" si="64"/>
        <v>0</v>
      </c>
      <c r="N135" s="8">
        <f t="shared" si="65"/>
        <v>0</v>
      </c>
      <c r="O135" s="8">
        <f t="shared" si="66"/>
        <v>0</v>
      </c>
      <c r="P135" s="8">
        <f t="shared" si="67"/>
        <v>0</v>
      </c>
      <c r="Q135" s="8">
        <f t="shared" si="68"/>
        <v>0</v>
      </c>
      <c r="R135" s="8">
        <f t="shared" si="69"/>
        <v>0</v>
      </c>
    </row>
    <row r="136" spans="1:18" ht="21" customHeight="1">
      <c r="A136" s="2">
        <v>44256</v>
      </c>
      <c r="B136" s="4">
        <v>8553</v>
      </c>
      <c r="C136" s="5">
        <v>2.81</v>
      </c>
      <c r="D136" s="6">
        <v>20510.3</v>
      </c>
      <c r="E136" s="7">
        <f t="shared" si="56"/>
        <v>9.0540373775807819</v>
      </c>
      <c r="F136" s="7">
        <f t="shared" si="57"/>
        <v>1.0331844833456545</v>
      </c>
      <c r="G136" s="7">
        <f t="shared" si="58"/>
        <v>9.9286824779706659</v>
      </c>
      <c r="H136" s="8">
        <f t="shared" si="59"/>
        <v>0</v>
      </c>
      <c r="I136" s="8">
        <f t="shared" si="60"/>
        <v>1</v>
      </c>
      <c r="J136" s="8">
        <f t="shared" si="61"/>
        <v>0</v>
      </c>
      <c r="K136" s="8">
        <f t="shared" si="62"/>
        <v>0</v>
      </c>
      <c r="L136" s="8">
        <f t="shared" si="63"/>
        <v>0</v>
      </c>
      <c r="M136" s="8">
        <f t="shared" si="64"/>
        <v>0</v>
      </c>
      <c r="N136" s="8">
        <f t="shared" si="65"/>
        <v>0</v>
      </c>
      <c r="O136" s="8">
        <f t="shared" si="66"/>
        <v>0</v>
      </c>
      <c r="P136" s="8">
        <f t="shared" si="67"/>
        <v>0</v>
      </c>
      <c r="Q136" s="8">
        <f t="shared" si="68"/>
        <v>0</v>
      </c>
      <c r="R136" s="8">
        <f t="shared" si="69"/>
        <v>0</v>
      </c>
    </row>
    <row r="137" spans="1:18" ht="21" customHeight="1">
      <c r="A137" s="2">
        <v>44287</v>
      </c>
      <c r="B137" s="4">
        <v>8839</v>
      </c>
      <c r="C137" s="5">
        <v>2.8580000000000001</v>
      </c>
      <c r="D137" s="6">
        <v>17406.3</v>
      </c>
      <c r="E137" s="7">
        <f t="shared" si="56"/>
        <v>9.0869290270609486</v>
      </c>
      <c r="F137" s="7">
        <f t="shared" si="57"/>
        <v>1.0501220795076758</v>
      </c>
      <c r="G137" s="7">
        <f t="shared" si="58"/>
        <v>9.7645874886369874</v>
      </c>
      <c r="H137" s="8">
        <f t="shared" si="59"/>
        <v>0</v>
      </c>
      <c r="I137" s="8">
        <f t="shared" si="60"/>
        <v>0</v>
      </c>
      <c r="J137" s="8">
        <f t="shared" si="61"/>
        <v>1</v>
      </c>
      <c r="K137" s="8">
        <f t="shared" si="62"/>
        <v>0</v>
      </c>
      <c r="L137" s="8">
        <f t="shared" si="63"/>
        <v>0</v>
      </c>
      <c r="M137" s="8">
        <f t="shared" si="64"/>
        <v>0</v>
      </c>
      <c r="N137" s="8">
        <f t="shared" si="65"/>
        <v>0</v>
      </c>
      <c r="O137" s="8">
        <f t="shared" si="66"/>
        <v>0</v>
      </c>
      <c r="P137" s="8">
        <f t="shared" si="67"/>
        <v>0</v>
      </c>
      <c r="Q137" s="8">
        <f t="shared" si="68"/>
        <v>0</v>
      </c>
      <c r="R137" s="8">
        <f t="shared" si="69"/>
        <v>0</v>
      </c>
    </row>
    <row r="138" spans="1:18" ht="21" customHeight="1">
      <c r="A138" s="2">
        <v>44317</v>
      </c>
      <c r="B138" s="4">
        <v>9081</v>
      </c>
      <c r="C138" s="5">
        <v>2.9849999999999999</v>
      </c>
      <c r="D138" s="6">
        <v>16916.5</v>
      </c>
      <c r="E138" s="7">
        <f t="shared" si="56"/>
        <v>9.1139395976898285</v>
      </c>
      <c r="F138" s="7">
        <f t="shared" si="57"/>
        <v>1.0935997468445653</v>
      </c>
      <c r="G138" s="7">
        <f t="shared" si="58"/>
        <v>9.7360447559706422</v>
      </c>
      <c r="H138" s="8">
        <f t="shared" si="59"/>
        <v>0</v>
      </c>
      <c r="I138" s="8">
        <f t="shared" si="60"/>
        <v>0</v>
      </c>
      <c r="J138" s="8">
        <f t="shared" si="61"/>
        <v>0</v>
      </c>
      <c r="K138" s="8">
        <f t="shared" si="62"/>
        <v>1</v>
      </c>
      <c r="L138" s="8">
        <f t="shared" si="63"/>
        <v>0</v>
      </c>
      <c r="M138" s="8">
        <f t="shared" si="64"/>
        <v>0</v>
      </c>
      <c r="N138" s="8">
        <f t="shared" si="65"/>
        <v>0</v>
      </c>
      <c r="O138" s="8">
        <f t="shared" si="66"/>
        <v>0</v>
      </c>
      <c r="P138" s="8">
        <f t="shared" si="67"/>
        <v>0</v>
      </c>
      <c r="Q138" s="8">
        <f t="shared" si="68"/>
        <v>0</v>
      </c>
      <c r="R138" s="8">
        <f t="shared" si="69"/>
        <v>0</v>
      </c>
    </row>
    <row r="139" spans="1:18" ht="21" customHeight="1">
      <c r="A139" s="2">
        <v>44348</v>
      </c>
      <c r="B139" s="4">
        <v>9362</v>
      </c>
      <c r="C139" s="5">
        <v>3.0640000000000001</v>
      </c>
      <c r="D139" s="6">
        <v>16839.3</v>
      </c>
      <c r="E139" s="7">
        <f t="shared" si="56"/>
        <v>9.144414221860016</v>
      </c>
      <c r="F139" s="7">
        <f t="shared" si="57"/>
        <v>1.1197212518783448</v>
      </c>
      <c r="G139" s="7">
        <f t="shared" si="58"/>
        <v>9.7314707192363947</v>
      </c>
      <c r="H139" s="8">
        <f t="shared" si="59"/>
        <v>0</v>
      </c>
      <c r="I139" s="8">
        <f t="shared" si="60"/>
        <v>0</v>
      </c>
      <c r="J139" s="8">
        <f t="shared" si="61"/>
        <v>0</v>
      </c>
      <c r="K139" s="8">
        <f t="shared" si="62"/>
        <v>0</v>
      </c>
      <c r="L139" s="8">
        <f t="shared" si="63"/>
        <v>1</v>
      </c>
      <c r="M139" s="8">
        <f t="shared" si="64"/>
        <v>0</v>
      </c>
      <c r="N139" s="8">
        <f t="shared" si="65"/>
        <v>0</v>
      </c>
      <c r="O139" s="8">
        <f t="shared" si="66"/>
        <v>0</v>
      </c>
      <c r="P139" s="8">
        <f t="shared" si="67"/>
        <v>0</v>
      </c>
      <c r="Q139" s="8">
        <f t="shared" si="68"/>
        <v>0</v>
      </c>
      <c r="R139" s="8">
        <f t="shared" si="69"/>
        <v>0</v>
      </c>
    </row>
    <row r="140" spans="1:18" ht="21" customHeight="1">
      <c r="A140" s="2">
        <v>44378</v>
      </c>
      <c r="B140" s="4">
        <v>9297</v>
      </c>
      <c r="C140" s="5">
        <v>3.1360000000000001</v>
      </c>
      <c r="D140" s="6">
        <v>16968</v>
      </c>
      <c r="E140" s="7">
        <f t="shared" si="56"/>
        <v>9.1374470464558577</v>
      </c>
      <c r="F140" s="7">
        <f t="shared" si="57"/>
        <v>1.1429481024881614</v>
      </c>
      <c r="G140" s="7">
        <f t="shared" si="58"/>
        <v>9.7390844962445176</v>
      </c>
      <c r="H140" s="8">
        <f t="shared" si="59"/>
        <v>0</v>
      </c>
      <c r="I140" s="8">
        <f t="shared" si="60"/>
        <v>0</v>
      </c>
      <c r="J140" s="8">
        <f t="shared" si="61"/>
        <v>0</v>
      </c>
      <c r="K140" s="8">
        <f t="shared" si="62"/>
        <v>0</v>
      </c>
      <c r="L140" s="8">
        <f t="shared" si="63"/>
        <v>0</v>
      </c>
      <c r="M140" s="8">
        <f t="shared" si="64"/>
        <v>1</v>
      </c>
      <c r="N140" s="8">
        <f t="shared" si="65"/>
        <v>0</v>
      </c>
      <c r="O140" s="8">
        <f t="shared" si="66"/>
        <v>0</v>
      </c>
      <c r="P140" s="8">
        <f t="shared" si="67"/>
        <v>0</v>
      </c>
      <c r="Q140" s="8">
        <f t="shared" si="68"/>
        <v>0</v>
      </c>
      <c r="R140" s="8">
        <f t="shared" si="69"/>
        <v>0</v>
      </c>
    </row>
    <row r="141" spans="1:18" ht="21" customHeight="1">
      <c r="A141" s="2">
        <v>44409</v>
      </c>
      <c r="B141" s="4">
        <v>9182</v>
      </c>
      <c r="C141" s="5">
        <v>3.1579999999999999</v>
      </c>
      <c r="D141" s="6">
        <v>16950.2</v>
      </c>
      <c r="E141" s="7">
        <f t="shared" si="56"/>
        <v>9.125000324809168</v>
      </c>
      <c r="F141" s="7">
        <f t="shared" si="57"/>
        <v>1.1499389158334503</v>
      </c>
      <c r="G141" s="7">
        <f t="shared" si="58"/>
        <v>9.7380349121490131</v>
      </c>
      <c r="H141" s="8">
        <f t="shared" si="59"/>
        <v>0</v>
      </c>
      <c r="I141" s="8">
        <f t="shared" si="60"/>
        <v>0</v>
      </c>
      <c r="J141" s="8">
        <f t="shared" si="61"/>
        <v>0</v>
      </c>
      <c r="K141" s="8">
        <f t="shared" si="62"/>
        <v>0</v>
      </c>
      <c r="L141" s="8">
        <f t="shared" si="63"/>
        <v>0</v>
      </c>
      <c r="M141" s="8">
        <f t="shared" si="64"/>
        <v>0</v>
      </c>
      <c r="N141" s="8">
        <f t="shared" si="65"/>
        <v>1</v>
      </c>
      <c r="O141" s="8">
        <f t="shared" si="66"/>
        <v>0</v>
      </c>
      <c r="P141" s="8">
        <f t="shared" si="67"/>
        <v>0</v>
      </c>
      <c r="Q141" s="8">
        <f t="shared" si="68"/>
        <v>0</v>
      </c>
      <c r="R141" s="8">
        <f t="shared" si="69"/>
        <v>0</v>
      </c>
    </row>
    <row r="142" spans="1:18" ht="21" customHeight="1">
      <c r="A142" s="2">
        <v>44440</v>
      </c>
      <c r="B142" s="4">
        <v>8932</v>
      </c>
      <c r="C142" s="5">
        <v>3.1749999999999998</v>
      </c>
      <c r="D142" s="6">
        <v>16772.099999999999</v>
      </c>
      <c r="E142" s="7">
        <f t="shared" si="56"/>
        <v>9.0973956129600477</v>
      </c>
      <c r="F142" s="7">
        <f t="shared" si="57"/>
        <v>1.1553076323446549</v>
      </c>
      <c r="G142" s="7">
        <f t="shared" si="58"/>
        <v>9.7274720705910287</v>
      </c>
      <c r="H142" s="8">
        <f t="shared" si="59"/>
        <v>0</v>
      </c>
      <c r="I142" s="8">
        <f t="shared" si="60"/>
        <v>0</v>
      </c>
      <c r="J142" s="8">
        <f t="shared" si="61"/>
        <v>0</v>
      </c>
      <c r="K142" s="8">
        <f t="shared" si="62"/>
        <v>0</v>
      </c>
      <c r="L142" s="8">
        <f t="shared" si="63"/>
        <v>0</v>
      </c>
      <c r="M142" s="8">
        <f t="shared" si="64"/>
        <v>0</v>
      </c>
      <c r="N142" s="8">
        <f t="shared" si="65"/>
        <v>0</v>
      </c>
      <c r="O142" s="8">
        <f t="shared" si="66"/>
        <v>1</v>
      </c>
      <c r="P142" s="8">
        <f t="shared" si="67"/>
        <v>0</v>
      </c>
      <c r="Q142" s="8">
        <f t="shared" si="68"/>
        <v>0</v>
      </c>
      <c r="R142" s="8">
        <f t="shared" si="69"/>
        <v>0</v>
      </c>
    </row>
    <row r="143" spans="1:18" ht="21" customHeight="1">
      <c r="A143" s="2">
        <v>44470</v>
      </c>
      <c r="B143" s="4">
        <v>9027</v>
      </c>
      <c r="C143" s="5">
        <v>3.2909999999999999</v>
      </c>
      <c r="D143" s="6">
        <v>16775.8</v>
      </c>
      <c r="E143" s="7">
        <f t="shared" si="56"/>
        <v>9.1079753652981541</v>
      </c>
      <c r="F143" s="7">
        <f t="shared" si="57"/>
        <v>1.191191469961203</v>
      </c>
      <c r="G143" s="7">
        <f t="shared" si="58"/>
        <v>9.7276926507176533</v>
      </c>
      <c r="H143" s="8">
        <f t="shared" si="59"/>
        <v>0</v>
      </c>
      <c r="I143" s="8">
        <f t="shared" si="60"/>
        <v>0</v>
      </c>
      <c r="J143" s="8">
        <f t="shared" si="61"/>
        <v>0</v>
      </c>
      <c r="K143" s="8">
        <f t="shared" si="62"/>
        <v>0</v>
      </c>
      <c r="L143" s="8">
        <f t="shared" si="63"/>
        <v>0</v>
      </c>
      <c r="M143" s="8">
        <f t="shared" si="64"/>
        <v>0</v>
      </c>
      <c r="N143" s="8">
        <f t="shared" si="65"/>
        <v>0</v>
      </c>
      <c r="O143" s="8">
        <f t="shared" si="66"/>
        <v>0</v>
      </c>
      <c r="P143" s="8">
        <f t="shared" si="67"/>
        <v>1</v>
      </c>
      <c r="Q143" s="8">
        <f t="shared" si="68"/>
        <v>0</v>
      </c>
      <c r="R143" s="8">
        <f t="shared" si="69"/>
        <v>0</v>
      </c>
    </row>
    <row r="144" spans="1:18" ht="21" customHeight="1">
      <c r="A144" s="2">
        <v>44501</v>
      </c>
      <c r="B144" s="4">
        <v>9021</v>
      </c>
      <c r="C144" s="5">
        <v>3.395</v>
      </c>
      <c r="D144" s="6">
        <v>16727.099999999999</v>
      </c>
      <c r="E144" s="7">
        <f t="shared" si="56"/>
        <v>9.1073104716566391</v>
      </c>
      <c r="F144" s="7">
        <f t="shared" si="57"/>
        <v>1.2223037610106595</v>
      </c>
      <c r="G144" s="7">
        <f t="shared" si="58"/>
        <v>9.7247854376524803</v>
      </c>
      <c r="H144" s="8">
        <f t="shared" si="59"/>
        <v>0</v>
      </c>
      <c r="I144" s="8">
        <f t="shared" si="60"/>
        <v>0</v>
      </c>
      <c r="J144" s="8">
        <f t="shared" si="61"/>
        <v>0</v>
      </c>
      <c r="K144" s="8">
        <f t="shared" si="62"/>
        <v>0</v>
      </c>
      <c r="L144" s="8">
        <f t="shared" si="63"/>
        <v>0</v>
      </c>
      <c r="M144" s="8">
        <f t="shared" si="64"/>
        <v>0</v>
      </c>
      <c r="N144" s="8">
        <f t="shared" si="65"/>
        <v>0</v>
      </c>
      <c r="O144" s="8">
        <f t="shared" si="66"/>
        <v>0</v>
      </c>
      <c r="P144" s="8">
        <f t="shared" si="67"/>
        <v>0</v>
      </c>
      <c r="Q144" s="8">
        <f t="shared" si="68"/>
        <v>1</v>
      </c>
      <c r="R144" s="8">
        <f t="shared" si="69"/>
        <v>0</v>
      </c>
    </row>
    <row r="145" spans="1:18" ht="21" customHeight="1">
      <c r="A145" s="2">
        <v>44531</v>
      </c>
      <c r="B145" s="4">
        <v>8879</v>
      </c>
      <c r="C145" s="5">
        <v>3.3069999999999999</v>
      </c>
      <c r="D145" s="6">
        <v>16647.099999999999</v>
      </c>
      <c r="E145" s="7">
        <f t="shared" si="56"/>
        <v>9.0914442170323273</v>
      </c>
      <c r="F145" s="7">
        <f t="shared" si="57"/>
        <v>1.1960414339996557</v>
      </c>
      <c r="G145" s="7">
        <f t="shared" si="58"/>
        <v>9.7199913060643333</v>
      </c>
      <c r="H145" s="8">
        <f t="shared" si="59"/>
        <v>0</v>
      </c>
      <c r="I145" s="8">
        <f t="shared" si="60"/>
        <v>0</v>
      </c>
      <c r="J145" s="8">
        <f t="shared" si="61"/>
        <v>0</v>
      </c>
      <c r="K145" s="8">
        <f t="shared" si="62"/>
        <v>0</v>
      </c>
      <c r="L145" s="8">
        <f t="shared" si="63"/>
        <v>0</v>
      </c>
      <c r="M145" s="8">
        <f t="shared" si="64"/>
        <v>0</v>
      </c>
      <c r="N145" s="8">
        <f t="shared" si="65"/>
        <v>0</v>
      </c>
      <c r="O145" s="8">
        <f t="shared" si="66"/>
        <v>0</v>
      </c>
      <c r="P145" s="8">
        <f t="shared" si="67"/>
        <v>0</v>
      </c>
      <c r="Q145" s="8">
        <f t="shared" si="68"/>
        <v>0</v>
      </c>
      <c r="R145" s="8">
        <f t="shared" si="69"/>
        <v>1</v>
      </c>
    </row>
    <row r="146" spans="1:18" ht="21" customHeight="1">
      <c r="A146" s="2">
        <v>44562</v>
      </c>
      <c r="B146" s="4">
        <v>8062</v>
      </c>
      <c r="C146" s="5">
        <v>3.3149999999999999</v>
      </c>
      <c r="D146" s="6">
        <v>16235.8</v>
      </c>
      <c r="E146" s="7">
        <f t="shared" si="56"/>
        <v>8.9949169436771115</v>
      </c>
      <c r="F146" s="7">
        <f t="shared" si="57"/>
        <v>1.1984576236378257</v>
      </c>
      <c r="G146" s="7">
        <f t="shared" si="58"/>
        <v>9.6949739595779167</v>
      </c>
      <c r="H146" s="8">
        <f t="shared" si="59"/>
        <v>0</v>
      </c>
      <c r="I146" s="8">
        <f t="shared" si="60"/>
        <v>0</v>
      </c>
      <c r="J146" s="8">
        <f t="shared" si="61"/>
        <v>0</v>
      </c>
      <c r="K146" s="8">
        <f t="shared" si="62"/>
        <v>0</v>
      </c>
      <c r="L146" s="8">
        <f t="shared" si="63"/>
        <v>0</v>
      </c>
      <c r="M146" s="8">
        <f t="shared" si="64"/>
        <v>0</v>
      </c>
      <c r="N146" s="8">
        <f t="shared" si="65"/>
        <v>0</v>
      </c>
      <c r="O146" s="8">
        <f t="shared" si="66"/>
        <v>0</v>
      </c>
      <c r="P146" s="8">
        <f t="shared" si="67"/>
        <v>0</v>
      </c>
      <c r="Q146" s="8">
        <f t="shared" si="68"/>
        <v>0</v>
      </c>
      <c r="R146" s="8">
        <f t="shared" si="69"/>
        <v>0</v>
      </c>
    </row>
    <row r="147" spans="1:18" ht="21" customHeight="1">
      <c r="A147" s="2">
        <v>44593</v>
      </c>
      <c r="B147" s="4">
        <v>8650</v>
      </c>
      <c r="C147" s="5">
        <v>3.5169999999999999</v>
      </c>
      <c r="D147" s="6">
        <v>16227.2</v>
      </c>
      <c r="E147" s="7">
        <f t="shared" si="56"/>
        <v>9.0653145999259248</v>
      </c>
      <c r="F147" s="7">
        <f t="shared" si="57"/>
        <v>1.2576083534918454</v>
      </c>
      <c r="G147" s="7">
        <f t="shared" si="58"/>
        <v>9.6944441256007003</v>
      </c>
      <c r="H147" s="8">
        <f t="shared" si="59"/>
        <v>1</v>
      </c>
      <c r="I147" s="8">
        <f t="shared" si="60"/>
        <v>0</v>
      </c>
      <c r="J147" s="8">
        <f t="shared" si="61"/>
        <v>0</v>
      </c>
      <c r="K147" s="8">
        <f t="shared" si="62"/>
        <v>0</v>
      </c>
      <c r="L147" s="8">
        <f t="shared" si="63"/>
        <v>0</v>
      </c>
      <c r="M147" s="8">
        <f t="shared" si="64"/>
        <v>0</v>
      </c>
      <c r="N147" s="8">
        <f t="shared" si="65"/>
        <v>0</v>
      </c>
      <c r="O147" s="8">
        <f t="shared" si="66"/>
        <v>0</v>
      </c>
      <c r="P147" s="8">
        <f t="shared" si="67"/>
        <v>0</v>
      </c>
      <c r="Q147" s="8">
        <f t="shared" si="68"/>
        <v>0</v>
      </c>
      <c r="R147" s="8">
        <f t="shared" si="69"/>
        <v>0</v>
      </c>
    </row>
    <row r="148" spans="1:18" ht="21" customHeight="1">
      <c r="A148" s="2">
        <v>44621</v>
      </c>
      <c r="B148" s="4">
        <v>9005</v>
      </c>
      <c r="C148" s="5">
        <v>4.2220000000000004</v>
      </c>
      <c r="D148" s="6">
        <v>16140.3</v>
      </c>
      <c r="E148" s="7">
        <f t="shared" si="56"/>
        <v>9.1055352576100557</v>
      </c>
      <c r="F148" s="7">
        <f t="shared" si="57"/>
        <v>1.440308949426129</v>
      </c>
      <c r="G148" s="7">
        <f t="shared" si="58"/>
        <v>9.6890745290117923</v>
      </c>
      <c r="H148" s="8">
        <f t="shared" si="59"/>
        <v>0</v>
      </c>
      <c r="I148" s="8">
        <f t="shared" si="60"/>
        <v>1</v>
      </c>
      <c r="J148" s="8">
        <f t="shared" si="61"/>
        <v>0</v>
      </c>
      <c r="K148" s="8">
        <f t="shared" si="62"/>
        <v>0</v>
      </c>
      <c r="L148" s="8">
        <f t="shared" si="63"/>
        <v>0</v>
      </c>
      <c r="M148" s="8">
        <f t="shared" si="64"/>
        <v>0</v>
      </c>
      <c r="N148" s="8">
        <f t="shared" si="65"/>
        <v>0</v>
      </c>
      <c r="O148" s="8">
        <f t="shared" si="66"/>
        <v>0</v>
      </c>
      <c r="P148" s="8">
        <f t="shared" si="67"/>
        <v>0</v>
      </c>
      <c r="Q148" s="8">
        <f t="shared" si="68"/>
        <v>0</v>
      </c>
      <c r="R148" s="8">
        <f t="shared" si="69"/>
        <v>0</v>
      </c>
    </row>
    <row r="149" spans="1:18" ht="21" customHeight="1">
      <c r="A149" s="2">
        <v>44652</v>
      </c>
      <c r="B149" s="4">
        <v>8799</v>
      </c>
      <c r="C149" s="5">
        <v>4.109</v>
      </c>
      <c r="D149" s="6">
        <v>16146.3</v>
      </c>
      <c r="E149" s="7">
        <f t="shared" si="56"/>
        <v>9.0823933576455609</v>
      </c>
      <c r="F149" s="7">
        <f t="shared" si="57"/>
        <v>1.4131796899012727</v>
      </c>
      <c r="G149" s="7">
        <f t="shared" si="58"/>
        <v>9.6894462002357091</v>
      </c>
      <c r="H149" s="8">
        <f t="shared" si="59"/>
        <v>0</v>
      </c>
      <c r="I149" s="8">
        <f t="shared" si="60"/>
        <v>0</v>
      </c>
      <c r="J149" s="8">
        <f t="shared" si="61"/>
        <v>1</v>
      </c>
      <c r="K149" s="8">
        <f t="shared" si="62"/>
        <v>0</v>
      </c>
      <c r="L149" s="8">
        <f t="shared" si="63"/>
        <v>0</v>
      </c>
      <c r="M149" s="8">
        <f t="shared" si="64"/>
        <v>0</v>
      </c>
      <c r="N149" s="8">
        <f t="shared" si="65"/>
        <v>0</v>
      </c>
      <c r="O149" s="8">
        <f t="shared" si="66"/>
        <v>0</v>
      </c>
      <c r="P149" s="8">
        <f t="shared" si="67"/>
        <v>0</v>
      </c>
      <c r="Q149" s="8">
        <f t="shared" si="68"/>
        <v>0</v>
      </c>
      <c r="R149" s="8">
        <f t="shared" si="69"/>
        <v>0</v>
      </c>
    </row>
    <row r="150" spans="1:18" ht="21" customHeight="1">
      <c r="A150" s="2">
        <v>44682</v>
      </c>
      <c r="B150" s="4">
        <v>9119</v>
      </c>
      <c r="C150" s="5">
        <v>4.444</v>
      </c>
      <c r="D150" s="6">
        <v>16123.3</v>
      </c>
      <c r="E150" s="7">
        <f t="shared" si="56"/>
        <v>9.1181154279336649</v>
      </c>
      <c r="F150" s="7">
        <f t="shared" si="57"/>
        <v>1.4915548717773834</v>
      </c>
      <c r="G150" s="7">
        <f t="shared" si="58"/>
        <v>9.6880207097496349</v>
      </c>
      <c r="H150" s="8">
        <f t="shared" si="59"/>
        <v>0</v>
      </c>
      <c r="I150" s="8">
        <f t="shared" si="60"/>
        <v>0</v>
      </c>
      <c r="J150" s="8">
        <f t="shared" si="61"/>
        <v>0</v>
      </c>
      <c r="K150" s="8">
        <f t="shared" si="62"/>
        <v>1</v>
      </c>
      <c r="L150" s="8">
        <f t="shared" si="63"/>
        <v>0</v>
      </c>
      <c r="M150" s="8">
        <f t="shared" si="64"/>
        <v>0</v>
      </c>
      <c r="N150" s="8">
        <f t="shared" si="65"/>
        <v>0</v>
      </c>
      <c r="O150" s="8">
        <f t="shared" si="66"/>
        <v>0</v>
      </c>
      <c r="P150" s="8">
        <f t="shared" si="67"/>
        <v>0</v>
      </c>
      <c r="Q150" s="8">
        <f t="shared" si="68"/>
        <v>0</v>
      </c>
      <c r="R150" s="8">
        <f t="shared" si="69"/>
        <v>0</v>
      </c>
    </row>
    <row r="151" spans="1:18" ht="21" customHeight="1">
      <c r="A151" s="2">
        <v>44713</v>
      </c>
      <c r="B151" s="4">
        <v>9075</v>
      </c>
      <c r="C151" s="5">
        <v>4.9290000000000003</v>
      </c>
      <c r="D151" s="6">
        <v>16081.5</v>
      </c>
      <c r="E151" s="7">
        <f t="shared" si="56"/>
        <v>9.1132786591330515</v>
      </c>
      <c r="F151" s="7">
        <f t="shared" si="57"/>
        <v>1.5951361277232408</v>
      </c>
      <c r="G151" s="7">
        <f t="shared" si="58"/>
        <v>9.6854248219644035</v>
      </c>
      <c r="H151" s="8">
        <f t="shared" si="59"/>
        <v>0</v>
      </c>
      <c r="I151" s="8">
        <f t="shared" si="60"/>
        <v>0</v>
      </c>
      <c r="J151" s="8">
        <f t="shared" si="61"/>
        <v>0</v>
      </c>
      <c r="K151" s="8">
        <f t="shared" si="62"/>
        <v>0</v>
      </c>
      <c r="L151" s="8">
        <f t="shared" si="63"/>
        <v>1</v>
      </c>
      <c r="M151" s="8">
        <f t="shared" si="64"/>
        <v>0</v>
      </c>
      <c r="N151" s="8">
        <f t="shared" si="65"/>
        <v>0</v>
      </c>
      <c r="O151" s="8">
        <f t="shared" si="66"/>
        <v>0</v>
      </c>
      <c r="P151" s="8">
        <f t="shared" si="67"/>
        <v>0</v>
      </c>
      <c r="Q151" s="8">
        <f t="shared" si="68"/>
        <v>0</v>
      </c>
      <c r="R151" s="8">
        <f t="shared" si="69"/>
        <v>0</v>
      </c>
    </row>
    <row r="152" spans="1:18" ht="21" customHeight="1">
      <c r="A152" s="2">
        <v>44743</v>
      </c>
      <c r="B152" s="4">
        <v>8812</v>
      </c>
      <c r="C152" s="5">
        <v>4.5590000000000002</v>
      </c>
      <c r="D152" s="6">
        <v>16264.8</v>
      </c>
      <c r="E152" s="7">
        <f t="shared" si="56"/>
        <v>9.0838697079222346</v>
      </c>
      <c r="F152" s="7">
        <f t="shared" si="57"/>
        <v>1.5171033012313044</v>
      </c>
      <c r="G152" s="7">
        <f t="shared" si="58"/>
        <v>9.6967585424900129</v>
      </c>
      <c r="H152" s="8">
        <f t="shared" si="59"/>
        <v>0</v>
      </c>
      <c r="I152" s="8">
        <f t="shared" si="60"/>
        <v>0</v>
      </c>
      <c r="J152" s="8">
        <f t="shared" si="61"/>
        <v>0</v>
      </c>
      <c r="K152" s="8">
        <f t="shared" si="62"/>
        <v>0</v>
      </c>
      <c r="L152" s="8">
        <f t="shared" si="63"/>
        <v>0</v>
      </c>
      <c r="M152" s="8">
        <f t="shared" si="64"/>
        <v>1</v>
      </c>
      <c r="N152" s="8">
        <f t="shared" si="65"/>
        <v>0</v>
      </c>
      <c r="O152" s="8">
        <f t="shared" si="66"/>
        <v>0</v>
      </c>
      <c r="P152" s="8">
        <f t="shared" si="67"/>
        <v>0</v>
      </c>
      <c r="Q152" s="8">
        <f t="shared" si="68"/>
        <v>0</v>
      </c>
      <c r="R152" s="8">
        <f t="shared" si="69"/>
        <v>0</v>
      </c>
    </row>
    <row r="153" spans="1:18" ht="21" customHeight="1">
      <c r="A153" s="2">
        <v>44774</v>
      </c>
      <c r="B153" s="4">
        <v>9115</v>
      </c>
      <c r="C153" s="5">
        <v>3.9750000000000001</v>
      </c>
      <c r="D153" s="6">
        <v>16370.1</v>
      </c>
      <c r="E153" s="7">
        <f t="shared" si="56"/>
        <v>9.1176766871127626</v>
      </c>
      <c r="F153" s="7">
        <f t="shared" si="57"/>
        <v>1.3800247481062953</v>
      </c>
      <c r="G153" s="7">
        <f t="shared" si="58"/>
        <v>9.7032117790820145</v>
      </c>
      <c r="H153" s="8">
        <f t="shared" si="59"/>
        <v>0</v>
      </c>
      <c r="I153" s="8">
        <f t="shared" si="60"/>
        <v>0</v>
      </c>
      <c r="J153" s="8">
        <f t="shared" si="61"/>
        <v>0</v>
      </c>
      <c r="K153" s="8">
        <f t="shared" si="62"/>
        <v>0</v>
      </c>
      <c r="L153" s="8">
        <f t="shared" si="63"/>
        <v>0</v>
      </c>
      <c r="M153" s="8">
        <f t="shared" si="64"/>
        <v>0</v>
      </c>
      <c r="N153" s="8">
        <f t="shared" si="65"/>
        <v>1</v>
      </c>
      <c r="O153" s="8">
        <f t="shared" si="66"/>
        <v>0</v>
      </c>
      <c r="P153" s="8">
        <f t="shared" si="67"/>
        <v>0</v>
      </c>
      <c r="Q153" s="8">
        <f t="shared" si="68"/>
        <v>0</v>
      </c>
      <c r="R153" s="8">
        <f t="shared" si="69"/>
        <v>0</v>
      </c>
    </row>
    <row r="154" spans="1:18" ht="21" customHeight="1">
      <c r="A154" s="2">
        <v>44805</v>
      </c>
      <c r="B154" s="4">
        <v>8847</v>
      </c>
      <c r="C154" s="5">
        <v>3.7</v>
      </c>
      <c r="D154" s="6">
        <v>16432.599999999999</v>
      </c>
      <c r="E154" s="7">
        <f t="shared" si="56"/>
        <v>9.0878336974833864</v>
      </c>
      <c r="F154" s="7">
        <f t="shared" si="57"/>
        <v>1.3083328196501789</v>
      </c>
      <c r="G154" s="7">
        <f t="shared" si="58"/>
        <v>9.7070224456205079</v>
      </c>
      <c r="H154" s="8">
        <f t="shared" si="59"/>
        <v>0</v>
      </c>
      <c r="I154" s="8">
        <f t="shared" si="60"/>
        <v>0</v>
      </c>
      <c r="J154" s="8">
        <f t="shared" si="61"/>
        <v>0</v>
      </c>
      <c r="K154" s="8">
        <f t="shared" si="62"/>
        <v>0</v>
      </c>
      <c r="L154" s="8">
        <f t="shared" si="63"/>
        <v>0</v>
      </c>
      <c r="M154" s="8">
        <f t="shared" si="64"/>
        <v>0</v>
      </c>
      <c r="N154" s="8">
        <f t="shared" si="65"/>
        <v>0</v>
      </c>
      <c r="O154" s="8">
        <f t="shared" si="66"/>
        <v>1</v>
      </c>
      <c r="P154" s="8">
        <f t="shared" si="67"/>
        <v>0</v>
      </c>
      <c r="Q154" s="8">
        <f t="shared" si="68"/>
        <v>0</v>
      </c>
      <c r="R154" s="8">
        <f t="shared" si="69"/>
        <v>0</v>
      </c>
    </row>
    <row r="155" spans="1:18" ht="21" customHeight="1">
      <c r="A155" s="2">
        <v>44835</v>
      </c>
      <c r="B155" s="4">
        <v>8807</v>
      </c>
      <c r="C155" s="5">
        <v>3.8149999999999999</v>
      </c>
      <c r="D155" s="6">
        <v>16480.2</v>
      </c>
      <c r="E155" s="7">
        <f t="shared" si="56"/>
        <v>9.0833021388054593</v>
      </c>
      <c r="F155" s="7">
        <f t="shared" si="57"/>
        <v>1.3389406647364204</v>
      </c>
      <c r="G155" s="7">
        <f t="shared" si="58"/>
        <v>9.7099149393121529</v>
      </c>
      <c r="H155" s="8">
        <f t="shared" si="59"/>
        <v>0</v>
      </c>
      <c r="I155" s="8">
        <f t="shared" si="60"/>
        <v>0</v>
      </c>
      <c r="J155" s="8">
        <f t="shared" si="61"/>
        <v>0</v>
      </c>
      <c r="K155" s="8">
        <f t="shared" si="62"/>
        <v>0</v>
      </c>
      <c r="L155" s="8">
        <f t="shared" si="63"/>
        <v>0</v>
      </c>
      <c r="M155" s="8">
        <f t="shared" si="64"/>
        <v>0</v>
      </c>
      <c r="N155" s="8">
        <f t="shared" si="65"/>
        <v>0</v>
      </c>
      <c r="O155" s="8">
        <f t="shared" si="66"/>
        <v>0</v>
      </c>
      <c r="P155" s="8">
        <f t="shared" si="67"/>
        <v>1</v>
      </c>
      <c r="Q155" s="8">
        <f t="shared" si="68"/>
        <v>0</v>
      </c>
      <c r="R155" s="8">
        <f t="shared" si="69"/>
        <v>0</v>
      </c>
    </row>
    <row r="156" spans="1:18" ht="21" customHeight="1">
      <c r="A156" s="2">
        <v>44866</v>
      </c>
      <c r="B156" s="4">
        <v>8827</v>
      </c>
      <c r="C156" s="5">
        <v>3.6850000000000001</v>
      </c>
      <c r="D156" s="6">
        <v>16511.2</v>
      </c>
      <c r="E156" s="7">
        <f t="shared" si="56"/>
        <v>9.0855704850202326</v>
      </c>
      <c r="F156" s="7">
        <f t="shared" si="57"/>
        <v>1.3042705256412999</v>
      </c>
      <c r="G156" s="7">
        <f t="shared" si="58"/>
        <v>9.7117942174951661</v>
      </c>
      <c r="H156" s="8">
        <f t="shared" si="59"/>
        <v>0</v>
      </c>
      <c r="I156" s="8">
        <f t="shared" si="60"/>
        <v>0</v>
      </c>
      <c r="J156" s="8">
        <f t="shared" si="61"/>
        <v>0</v>
      </c>
      <c r="K156" s="8">
        <f t="shared" si="62"/>
        <v>0</v>
      </c>
      <c r="L156" s="8">
        <f t="shared" si="63"/>
        <v>0</v>
      </c>
      <c r="M156" s="8">
        <f t="shared" si="64"/>
        <v>0</v>
      </c>
      <c r="N156" s="8">
        <f t="shared" si="65"/>
        <v>0</v>
      </c>
      <c r="O156" s="8">
        <f t="shared" si="66"/>
        <v>0</v>
      </c>
      <c r="P156" s="8">
        <f t="shared" si="67"/>
        <v>0</v>
      </c>
      <c r="Q156" s="8">
        <f t="shared" si="68"/>
        <v>1</v>
      </c>
      <c r="R156" s="8">
        <f t="shared" si="69"/>
        <v>0</v>
      </c>
    </row>
    <row r="157" spans="1:18" ht="21" customHeight="1">
      <c r="A157" s="2">
        <v>44896</v>
      </c>
      <c r="B157" s="4">
        <v>8596</v>
      </c>
      <c r="C157" s="5">
        <v>3.21</v>
      </c>
      <c r="D157" s="6">
        <v>16590.5</v>
      </c>
      <c r="E157" s="7">
        <f t="shared" si="56"/>
        <v>9.0590522577624011</v>
      </c>
      <c r="F157" s="7">
        <f t="shared" si="57"/>
        <v>1.1662709371419244</v>
      </c>
      <c r="G157" s="7">
        <f t="shared" si="58"/>
        <v>9.7165855213680636</v>
      </c>
      <c r="H157" s="8">
        <f t="shared" si="59"/>
        <v>0</v>
      </c>
      <c r="I157" s="8">
        <f t="shared" si="60"/>
        <v>0</v>
      </c>
      <c r="J157" s="8">
        <f t="shared" si="61"/>
        <v>0</v>
      </c>
      <c r="K157" s="8">
        <f t="shared" si="62"/>
        <v>0</v>
      </c>
      <c r="L157" s="8">
        <f t="shared" si="63"/>
        <v>0</v>
      </c>
      <c r="M157" s="8">
        <f t="shared" si="64"/>
        <v>0</v>
      </c>
      <c r="N157" s="8">
        <f t="shared" si="65"/>
        <v>0</v>
      </c>
      <c r="O157" s="8">
        <f t="shared" si="66"/>
        <v>0</v>
      </c>
      <c r="P157" s="8">
        <f t="shared" si="67"/>
        <v>0</v>
      </c>
      <c r="Q157" s="8">
        <f t="shared" si="68"/>
        <v>0</v>
      </c>
      <c r="R157" s="8">
        <f t="shared" si="69"/>
        <v>1</v>
      </c>
    </row>
    <row r="158" spans="1:18" ht="21" customHeight="1">
      <c r="A158" s="2">
        <v>44927</v>
      </c>
      <c r="B158" s="4">
        <v>8291</v>
      </c>
      <c r="C158" s="5">
        <v>3.339</v>
      </c>
      <c r="D158" s="6">
        <v>16911.900000000001</v>
      </c>
      <c r="E158" s="7">
        <f t="shared" si="56"/>
        <v>9.0229258681162179</v>
      </c>
      <c r="F158" s="7">
        <f t="shared" si="57"/>
        <v>1.2056713609615175</v>
      </c>
      <c r="G158" s="7">
        <f t="shared" si="58"/>
        <v>9.7357727951313269</v>
      </c>
      <c r="H158" s="8">
        <f t="shared" si="59"/>
        <v>0</v>
      </c>
      <c r="I158" s="8">
        <f t="shared" si="60"/>
        <v>0</v>
      </c>
      <c r="J158" s="8">
        <f t="shared" si="61"/>
        <v>0</v>
      </c>
      <c r="K158" s="8">
        <f t="shared" si="62"/>
        <v>0</v>
      </c>
      <c r="L158" s="8">
        <f t="shared" si="63"/>
        <v>0</v>
      </c>
      <c r="M158" s="8">
        <f t="shared" si="64"/>
        <v>0</v>
      </c>
      <c r="N158" s="8">
        <f t="shared" si="65"/>
        <v>0</v>
      </c>
      <c r="O158" s="8">
        <f t="shared" si="66"/>
        <v>0</v>
      </c>
      <c r="P158" s="8">
        <f t="shared" si="67"/>
        <v>0</v>
      </c>
      <c r="Q158" s="8">
        <f t="shared" si="68"/>
        <v>0</v>
      </c>
      <c r="R158" s="8">
        <f t="shared" si="69"/>
        <v>0</v>
      </c>
    </row>
    <row r="159" spans="1:18" ht="21" customHeight="1">
      <c r="A159" s="2">
        <v>44958</v>
      </c>
      <c r="B159" s="4">
        <v>8695</v>
      </c>
      <c r="C159" s="5">
        <v>3.3889999999999998</v>
      </c>
      <c r="D159" s="6">
        <v>17003.900000000001</v>
      </c>
      <c r="E159" s="7">
        <f t="shared" si="56"/>
        <v>9.0705034267883828</v>
      </c>
      <c r="F159" s="7">
        <f t="shared" si="57"/>
        <v>1.2205348926249142</v>
      </c>
      <c r="G159" s="7">
        <f t="shared" si="58"/>
        <v>9.741198008492205</v>
      </c>
      <c r="H159" s="8">
        <f t="shared" si="59"/>
        <v>1</v>
      </c>
      <c r="I159" s="8">
        <f t="shared" si="60"/>
        <v>0</v>
      </c>
      <c r="J159" s="8">
        <f t="shared" si="61"/>
        <v>0</v>
      </c>
      <c r="K159" s="8">
        <f t="shared" si="62"/>
        <v>0</v>
      </c>
      <c r="L159" s="8">
        <f t="shared" si="63"/>
        <v>0</v>
      </c>
      <c r="M159" s="8">
        <f t="shared" si="64"/>
        <v>0</v>
      </c>
      <c r="N159" s="8">
        <f t="shared" si="65"/>
        <v>0</v>
      </c>
      <c r="O159" s="8">
        <f t="shared" si="66"/>
        <v>0</v>
      </c>
      <c r="P159" s="8">
        <f t="shared" si="67"/>
        <v>0</v>
      </c>
      <c r="Q159" s="8">
        <f t="shared" si="68"/>
        <v>0</v>
      </c>
      <c r="R159" s="8">
        <f t="shared" si="69"/>
        <v>0</v>
      </c>
    </row>
    <row r="160" spans="1:18" ht="21" customHeight="1">
      <c r="A160" s="2">
        <v>44986</v>
      </c>
      <c r="B160" s="4">
        <v>9077</v>
      </c>
      <c r="C160" s="5">
        <v>3.4220000000000002</v>
      </c>
      <c r="D160" s="6">
        <v>17092.8</v>
      </c>
      <c r="E160" s="7">
        <f t="shared" si="56"/>
        <v>9.1134990205266266</v>
      </c>
      <c r="F160" s="7">
        <f t="shared" si="57"/>
        <v>1.2302251754700018</v>
      </c>
      <c r="G160" s="7">
        <f t="shared" si="58"/>
        <v>9.7464126011916221</v>
      </c>
      <c r="H160" s="8">
        <f t="shared" si="59"/>
        <v>0</v>
      </c>
      <c r="I160" s="8">
        <f t="shared" si="60"/>
        <v>1</v>
      </c>
      <c r="J160" s="8">
        <f t="shared" si="61"/>
        <v>0</v>
      </c>
      <c r="K160" s="8">
        <f t="shared" si="62"/>
        <v>0</v>
      </c>
      <c r="L160" s="8">
        <f t="shared" si="63"/>
        <v>0</v>
      </c>
      <c r="M160" s="8">
        <f t="shared" si="64"/>
        <v>0</v>
      </c>
      <c r="N160" s="8">
        <f t="shared" si="65"/>
        <v>0</v>
      </c>
      <c r="O160" s="8">
        <f t="shared" si="66"/>
        <v>0</v>
      </c>
      <c r="P160" s="8">
        <f t="shared" si="67"/>
        <v>0</v>
      </c>
      <c r="Q160" s="8">
        <f t="shared" si="68"/>
        <v>0</v>
      </c>
      <c r="R160" s="8">
        <f t="shared" si="69"/>
        <v>0</v>
      </c>
    </row>
    <row r="161" spans="1:18" ht="21" customHeight="1">
      <c r="A161" s="2">
        <v>45017</v>
      </c>
      <c r="B161" s="4">
        <v>8944</v>
      </c>
      <c r="C161" s="5">
        <v>3.6030000000000002</v>
      </c>
      <c r="D161" s="6">
        <v>17149.599999999999</v>
      </c>
      <c r="E161" s="7">
        <f t="shared" si="56"/>
        <v>9.0987381953948798</v>
      </c>
      <c r="F161" s="7">
        <f t="shared" si="57"/>
        <v>1.2817668317659563</v>
      </c>
      <c r="G161" s="7">
        <f t="shared" si="58"/>
        <v>9.7497301287069256</v>
      </c>
      <c r="H161" s="8">
        <f t="shared" si="59"/>
        <v>0</v>
      </c>
      <c r="I161" s="8">
        <f t="shared" si="60"/>
        <v>0</v>
      </c>
      <c r="J161" s="8">
        <f t="shared" si="61"/>
        <v>1</v>
      </c>
      <c r="K161" s="8">
        <f t="shared" si="62"/>
        <v>0</v>
      </c>
      <c r="L161" s="8">
        <f t="shared" si="63"/>
        <v>0</v>
      </c>
      <c r="M161" s="8">
        <f t="shared" si="64"/>
        <v>0</v>
      </c>
      <c r="N161" s="8">
        <f t="shared" si="65"/>
        <v>0</v>
      </c>
      <c r="O161" s="8">
        <f t="shared" si="66"/>
        <v>0</v>
      </c>
      <c r="P161" s="8">
        <f t="shared" si="67"/>
        <v>0</v>
      </c>
      <c r="Q161" s="8">
        <f t="shared" si="68"/>
        <v>0</v>
      </c>
      <c r="R161" s="8">
        <f t="shared" si="69"/>
        <v>0</v>
      </c>
    </row>
    <row r="162" spans="1:18" ht="21" customHeight="1">
      <c r="A162" s="2">
        <v>45047</v>
      </c>
      <c r="B162" s="4">
        <v>9080</v>
      </c>
      <c r="C162" s="5">
        <v>3.5550000000000002</v>
      </c>
      <c r="D162" s="6">
        <v>17216.3</v>
      </c>
      <c r="E162" s="7">
        <f t="shared" ref="E162:E193" si="70">LN(B162)</f>
        <v>9.1138294715953396</v>
      </c>
      <c r="F162" s="7">
        <f t="shared" ref="F162:F193" si="71">LN(C162)</f>
        <v>1.2683550632552043</v>
      </c>
      <c r="G162" s="7">
        <f t="shared" ref="G162:G193" si="72">LN(D162)</f>
        <v>9.7536118884602434</v>
      </c>
      <c r="H162" s="8">
        <f t="shared" ref="H162:H193" si="73">IF(MONTH($A162)=2,1,0)</f>
        <v>0</v>
      </c>
      <c r="I162" s="8">
        <f t="shared" ref="I162:I193" si="74">IF(MONTH($A162)=3,1,0)</f>
        <v>0</v>
      </c>
      <c r="J162" s="8">
        <f t="shared" ref="J162:J193" si="75">IF(MONTH($A162)=4,1,0)</f>
        <v>0</v>
      </c>
      <c r="K162" s="8">
        <f t="shared" ref="K162:K193" si="76">IF(MONTH($A162)=5,1,0)</f>
        <v>1</v>
      </c>
      <c r="L162" s="8">
        <f t="shared" ref="L162:L193" si="77">IF(MONTH($A162)=6,1,0)</f>
        <v>0</v>
      </c>
      <c r="M162" s="8">
        <f t="shared" ref="M162:M193" si="78">IF(MONTH($A162)=7,1,0)</f>
        <v>0</v>
      </c>
      <c r="N162" s="8">
        <f t="shared" ref="N162:N193" si="79">IF(MONTH($A162)=8,1,0)</f>
        <v>0</v>
      </c>
      <c r="O162" s="8">
        <f t="shared" ref="O162:O193" si="80">IF(MONTH($A162)=9,1,0)</f>
        <v>0</v>
      </c>
      <c r="P162" s="8">
        <f t="shared" ref="P162:P193" si="81">IF(MONTH($A162)=10,1,0)</f>
        <v>0</v>
      </c>
      <c r="Q162" s="8">
        <f t="shared" ref="Q162:Q193" si="82">IF(MONTH($A162)=11,1,0)</f>
        <v>0</v>
      </c>
      <c r="R162" s="8">
        <f t="shared" ref="R162:R193" si="83">IF(MONTH($A162)=12,1,0)</f>
        <v>0</v>
      </c>
    </row>
    <row r="163" spans="1:18" ht="21" customHeight="1">
      <c r="A163" s="2">
        <v>45078</v>
      </c>
      <c r="B163" s="4">
        <v>9366</v>
      </c>
      <c r="C163" s="5">
        <v>3.5710000000000002</v>
      </c>
      <c r="D163" s="6">
        <v>17256.7</v>
      </c>
      <c r="E163" s="7">
        <f t="shared" si="70"/>
        <v>9.1448413897434868</v>
      </c>
      <c r="F163" s="7">
        <f t="shared" si="71"/>
        <v>1.2728456686123115</v>
      </c>
      <c r="G163" s="7">
        <f t="shared" si="72"/>
        <v>9.7559557528466012</v>
      </c>
      <c r="H163" s="8">
        <f t="shared" si="73"/>
        <v>0</v>
      </c>
      <c r="I163" s="8">
        <f t="shared" si="74"/>
        <v>0</v>
      </c>
      <c r="J163" s="8">
        <f t="shared" si="75"/>
        <v>0</v>
      </c>
      <c r="K163" s="8">
        <f t="shared" si="76"/>
        <v>0</v>
      </c>
      <c r="L163" s="8">
        <f t="shared" si="77"/>
        <v>1</v>
      </c>
      <c r="M163" s="8">
        <f t="shared" si="78"/>
        <v>0</v>
      </c>
      <c r="N163" s="8">
        <f t="shared" si="79"/>
        <v>0</v>
      </c>
      <c r="O163" s="8">
        <f t="shared" si="80"/>
        <v>0</v>
      </c>
      <c r="P163" s="8">
        <f t="shared" si="81"/>
        <v>0</v>
      </c>
      <c r="Q163" s="8">
        <f t="shared" si="82"/>
        <v>0</v>
      </c>
      <c r="R163" s="8">
        <f t="shared" si="83"/>
        <v>0</v>
      </c>
    </row>
    <row r="164" spans="1:18" ht="21" customHeight="1">
      <c r="A164" s="2">
        <v>45108</v>
      </c>
      <c r="B164" s="4">
        <v>8979</v>
      </c>
      <c r="C164" s="5">
        <v>3.597</v>
      </c>
      <c r="D164" s="6">
        <v>17305.2</v>
      </c>
      <c r="E164" s="7">
        <f t="shared" si="70"/>
        <v>9.1026437965208089</v>
      </c>
      <c r="F164" s="7">
        <f t="shared" si="71"/>
        <v>1.2801001647134869</v>
      </c>
      <c r="G164" s="7">
        <f t="shared" si="72"/>
        <v>9.7587623133560246</v>
      </c>
      <c r="H164" s="8">
        <f t="shared" si="73"/>
        <v>0</v>
      </c>
      <c r="I164" s="8">
        <f t="shared" si="74"/>
        <v>0</v>
      </c>
      <c r="J164" s="8">
        <f t="shared" si="75"/>
        <v>0</v>
      </c>
      <c r="K164" s="8">
        <f t="shared" si="76"/>
        <v>0</v>
      </c>
      <c r="L164" s="8">
        <f t="shared" si="77"/>
        <v>0</v>
      </c>
      <c r="M164" s="8">
        <f t="shared" si="78"/>
        <v>1</v>
      </c>
      <c r="N164" s="8">
        <f t="shared" si="79"/>
        <v>0</v>
      </c>
      <c r="O164" s="8">
        <f t="shared" si="80"/>
        <v>0</v>
      </c>
      <c r="P164" s="8">
        <f t="shared" si="81"/>
        <v>0</v>
      </c>
      <c r="Q164" s="8">
        <f t="shared" si="82"/>
        <v>0</v>
      </c>
      <c r="R164" s="8">
        <f t="shared" si="83"/>
        <v>0</v>
      </c>
    </row>
    <row r="165" spans="1:18" ht="21" customHeight="1">
      <c r="A165" s="2">
        <v>45139</v>
      </c>
      <c r="B165" s="4">
        <v>9244</v>
      </c>
      <c r="C165" s="5">
        <v>3.84</v>
      </c>
      <c r="D165" s="6">
        <v>17348.5</v>
      </c>
      <c r="E165" s="7">
        <f t="shared" si="70"/>
        <v>9.1317299713942717</v>
      </c>
      <c r="F165" s="7">
        <f t="shared" si="71"/>
        <v>1.3454723665996355</v>
      </c>
      <c r="G165" s="7">
        <f t="shared" si="72"/>
        <v>9.7612613263061156</v>
      </c>
      <c r="H165" s="8">
        <f t="shared" si="73"/>
        <v>0</v>
      </c>
      <c r="I165" s="8">
        <f t="shared" si="74"/>
        <v>0</v>
      </c>
      <c r="J165" s="8">
        <f t="shared" si="75"/>
        <v>0</v>
      </c>
      <c r="K165" s="8">
        <f t="shared" si="76"/>
        <v>0</v>
      </c>
      <c r="L165" s="8">
        <f t="shared" si="77"/>
        <v>0</v>
      </c>
      <c r="M165" s="8">
        <f t="shared" si="78"/>
        <v>0</v>
      </c>
      <c r="N165" s="8">
        <f t="shared" si="79"/>
        <v>1</v>
      </c>
      <c r="O165" s="8">
        <f t="shared" si="80"/>
        <v>0</v>
      </c>
      <c r="P165" s="8">
        <f t="shared" si="81"/>
        <v>0</v>
      </c>
      <c r="Q165" s="8">
        <f t="shared" si="82"/>
        <v>0</v>
      </c>
      <c r="R165" s="8">
        <f t="shared" si="83"/>
        <v>0</v>
      </c>
    </row>
    <row r="166" spans="1:18" ht="21" customHeight="1">
      <c r="A166" s="2">
        <v>45170</v>
      </c>
      <c r="B166" s="4">
        <v>8843</v>
      </c>
      <c r="C166" s="5">
        <v>3.8359999999999999</v>
      </c>
      <c r="D166" s="6">
        <v>17369.5</v>
      </c>
      <c r="E166" s="7">
        <f t="shared" si="70"/>
        <v>9.0873814645757349</v>
      </c>
      <c r="F166" s="7">
        <f t="shared" si="71"/>
        <v>1.3444301570211918</v>
      </c>
      <c r="G166" s="7">
        <f t="shared" si="72"/>
        <v>9.7624710735589009</v>
      </c>
      <c r="H166" s="8">
        <f t="shared" si="73"/>
        <v>0</v>
      </c>
      <c r="I166" s="8">
        <f t="shared" si="74"/>
        <v>0</v>
      </c>
      <c r="J166" s="8">
        <f t="shared" si="75"/>
        <v>0</v>
      </c>
      <c r="K166" s="8">
        <f t="shared" si="76"/>
        <v>0</v>
      </c>
      <c r="L166" s="8">
        <f t="shared" si="77"/>
        <v>0</v>
      </c>
      <c r="M166" s="8">
        <f t="shared" si="78"/>
        <v>0</v>
      </c>
      <c r="N166" s="8">
        <f t="shared" si="79"/>
        <v>0</v>
      </c>
      <c r="O166" s="8">
        <f t="shared" si="80"/>
        <v>1</v>
      </c>
      <c r="P166" s="8">
        <f t="shared" si="81"/>
        <v>0</v>
      </c>
      <c r="Q166" s="8">
        <f t="shared" si="82"/>
        <v>0</v>
      </c>
      <c r="R166" s="8">
        <f t="shared" si="83"/>
        <v>0</v>
      </c>
    </row>
    <row r="167" spans="1:18" ht="21" customHeight="1">
      <c r="A167" s="2">
        <v>45200</v>
      </c>
      <c r="B167" s="4">
        <v>9100</v>
      </c>
      <c r="C167" s="5">
        <v>3.613</v>
      </c>
      <c r="D167" s="6">
        <v>17435.900000000001</v>
      </c>
      <c r="E167" s="7">
        <f t="shared" si="70"/>
        <v>9.1160296925049416</v>
      </c>
      <c r="F167" s="7">
        <f t="shared" si="71"/>
        <v>1.2845384521655032</v>
      </c>
      <c r="G167" s="7">
        <f t="shared" si="72"/>
        <v>9.7662865780814556</v>
      </c>
      <c r="H167" s="8">
        <f t="shared" si="73"/>
        <v>0</v>
      </c>
      <c r="I167" s="8">
        <f t="shared" si="74"/>
        <v>0</v>
      </c>
      <c r="J167" s="8">
        <f t="shared" si="75"/>
        <v>0</v>
      </c>
      <c r="K167" s="8">
        <f t="shared" si="76"/>
        <v>0</v>
      </c>
      <c r="L167" s="8">
        <f t="shared" si="77"/>
        <v>0</v>
      </c>
      <c r="M167" s="8">
        <f t="shared" si="78"/>
        <v>0</v>
      </c>
      <c r="N167" s="8">
        <f t="shared" si="79"/>
        <v>0</v>
      </c>
      <c r="O167" s="8">
        <f t="shared" si="80"/>
        <v>0</v>
      </c>
      <c r="P167" s="8">
        <f t="shared" si="81"/>
        <v>1</v>
      </c>
      <c r="Q167" s="8">
        <f t="shared" si="82"/>
        <v>0</v>
      </c>
      <c r="R167" s="8">
        <f t="shared" si="83"/>
        <v>0</v>
      </c>
    </row>
    <row r="168" spans="1:18" ht="21" customHeight="1">
      <c r="A168" s="2">
        <v>45231</v>
      </c>
      <c r="B168" s="4">
        <v>8910</v>
      </c>
      <c r="C168" s="5">
        <v>3.3180000000000001</v>
      </c>
      <c r="D168" s="6">
        <v>17524.8</v>
      </c>
      <c r="E168" s="7">
        <f t="shared" si="70"/>
        <v>9.0949295204648557</v>
      </c>
      <c r="F168" s="7">
        <f t="shared" si="71"/>
        <v>1.1993621917682529</v>
      </c>
      <c r="G168" s="7">
        <f t="shared" si="72"/>
        <v>9.7713722995694816</v>
      </c>
      <c r="H168" s="8">
        <f t="shared" si="73"/>
        <v>0</v>
      </c>
      <c r="I168" s="8">
        <f t="shared" si="74"/>
        <v>0</v>
      </c>
      <c r="J168" s="8">
        <f t="shared" si="75"/>
        <v>0</v>
      </c>
      <c r="K168" s="8">
        <f t="shared" si="76"/>
        <v>0</v>
      </c>
      <c r="L168" s="8">
        <f t="shared" si="77"/>
        <v>0</v>
      </c>
      <c r="M168" s="8">
        <f t="shared" si="78"/>
        <v>0</v>
      </c>
      <c r="N168" s="8">
        <f t="shared" si="79"/>
        <v>0</v>
      </c>
      <c r="O168" s="8">
        <f t="shared" si="80"/>
        <v>0</v>
      </c>
      <c r="P168" s="8">
        <f t="shared" si="81"/>
        <v>0</v>
      </c>
      <c r="Q168" s="8">
        <f t="shared" si="82"/>
        <v>1</v>
      </c>
      <c r="R168" s="8">
        <f t="shared" si="83"/>
        <v>0</v>
      </c>
    </row>
    <row r="169" spans="1:18" ht="21" customHeight="1">
      <c r="A169" s="2">
        <v>45261</v>
      </c>
      <c r="B169" s="4">
        <v>8796</v>
      </c>
      <c r="C169" s="5">
        <v>3.1339999999999999</v>
      </c>
      <c r="D169" s="6">
        <v>17589.400000000001</v>
      </c>
      <c r="E169" s="7">
        <f t="shared" si="70"/>
        <v>9.0820523516746512</v>
      </c>
      <c r="F169" s="7">
        <f t="shared" si="71"/>
        <v>1.142310143933829</v>
      </c>
      <c r="G169" s="7">
        <f t="shared" si="72"/>
        <v>9.775051726859898</v>
      </c>
      <c r="H169" s="8">
        <f t="shared" si="73"/>
        <v>0</v>
      </c>
      <c r="I169" s="8">
        <f t="shared" si="74"/>
        <v>0</v>
      </c>
      <c r="J169" s="8">
        <f t="shared" si="75"/>
        <v>0</v>
      </c>
      <c r="K169" s="8">
        <f t="shared" si="76"/>
        <v>0</v>
      </c>
      <c r="L169" s="8">
        <f t="shared" si="77"/>
        <v>0</v>
      </c>
      <c r="M169" s="8">
        <f t="shared" si="78"/>
        <v>0</v>
      </c>
      <c r="N169" s="8">
        <f t="shared" si="79"/>
        <v>0</v>
      </c>
      <c r="O169" s="8">
        <f t="shared" si="80"/>
        <v>0</v>
      </c>
      <c r="P169" s="8">
        <f t="shared" si="81"/>
        <v>0</v>
      </c>
      <c r="Q169" s="8">
        <f t="shared" si="82"/>
        <v>0</v>
      </c>
      <c r="R169" s="8">
        <f t="shared" si="83"/>
        <v>1</v>
      </c>
    </row>
    <row r="170" spans="1:18" ht="21" customHeight="1">
      <c r="A170" s="2">
        <v>45292</v>
      </c>
      <c r="B170" s="4">
        <v>8290</v>
      </c>
      <c r="C170" s="5">
        <v>3.0750000000000002</v>
      </c>
      <c r="D170" s="6">
        <v>17679.599999999999</v>
      </c>
      <c r="E170" s="7">
        <f t="shared" si="70"/>
        <v>9.022805248129341</v>
      </c>
      <c r="F170" s="7">
        <f t="shared" si="71"/>
        <v>1.1233049012584813</v>
      </c>
      <c r="G170" s="7">
        <f t="shared" si="72"/>
        <v>9.7801667115013089</v>
      </c>
      <c r="H170" s="8">
        <f t="shared" si="73"/>
        <v>0</v>
      </c>
      <c r="I170" s="8">
        <f t="shared" si="74"/>
        <v>0</v>
      </c>
      <c r="J170" s="8">
        <f t="shared" si="75"/>
        <v>0</v>
      </c>
      <c r="K170" s="8">
        <f t="shared" si="76"/>
        <v>0</v>
      </c>
      <c r="L170" s="8">
        <f t="shared" si="77"/>
        <v>0</v>
      </c>
      <c r="M170" s="8">
        <f t="shared" si="78"/>
        <v>0</v>
      </c>
      <c r="N170" s="8">
        <f t="shared" si="79"/>
        <v>0</v>
      </c>
      <c r="O170" s="8">
        <f t="shared" si="80"/>
        <v>0</v>
      </c>
      <c r="P170" s="8">
        <f t="shared" si="81"/>
        <v>0</v>
      </c>
      <c r="Q170" s="8">
        <f t="shared" si="82"/>
        <v>0</v>
      </c>
      <c r="R170" s="8">
        <f t="shared" si="83"/>
        <v>0</v>
      </c>
    </row>
    <row r="171" spans="1:18" ht="21" customHeight="1">
      <c r="A171" s="2">
        <v>45323</v>
      </c>
      <c r="B171" s="4">
        <v>8659</v>
      </c>
      <c r="C171" s="5">
        <v>3.2120000000000002</v>
      </c>
      <c r="D171" s="6">
        <v>17681</v>
      </c>
      <c r="E171" s="7">
        <f t="shared" si="70"/>
        <v>9.066354521447801</v>
      </c>
      <c r="F171" s="7">
        <f t="shared" si="71"/>
        <v>1.1668937960845154</v>
      </c>
      <c r="G171" s="7">
        <f t="shared" si="72"/>
        <v>9.7802458956780889</v>
      </c>
      <c r="H171" s="8">
        <f t="shared" si="73"/>
        <v>1</v>
      </c>
      <c r="I171" s="8">
        <f t="shared" si="74"/>
        <v>0</v>
      </c>
      <c r="J171" s="8">
        <f t="shared" si="75"/>
        <v>0</v>
      </c>
      <c r="K171" s="8">
        <f t="shared" si="76"/>
        <v>0</v>
      </c>
      <c r="L171" s="8">
        <f t="shared" si="77"/>
        <v>0</v>
      </c>
      <c r="M171" s="8">
        <f t="shared" si="78"/>
        <v>0</v>
      </c>
      <c r="N171" s="8">
        <f t="shared" si="79"/>
        <v>0</v>
      </c>
      <c r="O171" s="8">
        <f t="shared" si="80"/>
        <v>0</v>
      </c>
      <c r="P171" s="8">
        <f t="shared" si="81"/>
        <v>0</v>
      </c>
      <c r="Q171" s="8">
        <f t="shared" si="82"/>
        <v>0</v>
      </c>
      <c r="R171" s="8">
        <f t="shared" si="83"/>
        <v>0</v>
      </c>
    </row>
    <row r="172" spans="1:18" ht="21" customHeight="1">
      <c r="A172" s="2">
        <v>45352</v>
      </c>
      <c r="B172" s="4">
        <v>8937</v>
      </c>
      <c r="C172" s="5">
        <v>3.4260000000000002</v>
      </c>
      <c r="D172" s="6">
        <v>17699.2</v>
      </c>
      <c r="E172" s="7">
        <f t="shared" si="70"/>
        <v>9.097955241381392</v>
      </c>
      <c r="F172" s="7">
        <f t="shared" si="71"/>
        <v>1.2313933999019282</v>
      </c>
      <c r="G172" s="7">
        <f t="shared" si="72"/>
        <v>9.7812747198003596</v>
      </c>
      <c r="H172" s="8">
        <f t="shared" si="73"/>
        <v>0</v>
      </c>
      <c r="I172" s="8">
        <f t="shared" si="74"/>
        <v>1</v>
      </c>
      <c r="J172" s="8">
        <f t="shared" si="75"/>
        <v>0</v>
      </c>
      <c r="K172" s="8">
        <f t="shared" si="76"/>
        <v>0</v>
      </c>
      <c r="L172" s="8">
        <f t="shared" si="77"/>
        <v>0</v>
      </c>
      <c r="M172" s="8">
        <f t="shared" si="78"/>
        <v>0</v>
      </c>
      <c r="N172" s="8">
        <f t="shared" si="79"/>
        <v>0</v>
      </c>
      <c r="O172" s="8">
        <f t="shared" si="80"/>
        <v>0</v>
      </c>
      <c r="P172" s="8">
        <f t="shared" si="81"/>
        <v>0</v>
      </c>
      <c r="Q172" s="8">
        <f t="shared" si="82"/>
        <v>0</v>
      </c>
      <c r="R172" s="8">
        <f t="shared" si="83"/>
        <v>0</v>
      </c>
    </row>
    <row r="173" spans="1:18" ht="21" customHeight="1">
      <c r="A173" s="2">
        <v>45383</v>
      </c>
      <c r="B173" s="4">
        <v>8869</v>
      </c>
      <c r="C173" s="5">
        <v>3.6110000000000002</v>
      </c>
      <c r="D173" s="6">
        <v>17747.2</v>
      </c>
      <c r="E173" s="7">
        <f t="shared" si="70"/>
        <v>9.0903173293764521</v>
      </c>
      <c r="F173" s="7">
        <f t="shared" si="71"/>
        <v>1.2839847422953208</v>
      </c>
      <c r="G173" s="7">
        <f t="shared" si="72"/>
        <v>9.7839830359814037</v>
      </c>
      <c r="H173" s="8">
        <f t="shared" si="73"/>
        <v>0</v>
      </c>
      <c r="I173" s="8">
        <f t="shared" si="74"/>
        <v>0</v>
      </c>
      <c r="J173" s="8">
        <f t="shared" si="75"/>
        <v>1</v>
      </c>
      <c r="K173" s="8">
        <f t="shared" si="76"/>
        <v>0</v>
      </c>
      <c r="L173" s="8">
        <f t="shared" si="77"/>
        <v>0</v>
      </c>
      <c r="M173" s="8">
        <f t="shared" si="78"/>
        <v>0</v>
      </c>
      <c r="N173" s="8">
        <f t="shared" si="79"/>
        <v>0</v>
      </c>
      <c r="O173" s="8">
        <f t="shared" si="80"/>
        <v>0</v>
      </c>
      <c r="P173" s="8">
        <f t="shared" si="81"/>
        <v>0</v>
      </c>
      <c r="Q173" s="8">
        <f t="shared" si="82"/>
        <v>0</v>
      </c>
      <c r="R173" s="8">
        <f t="shared" si="83"/>
        <v>0</v>
      </c>
    </row>
    <row r="174" spans="1:18" ht="21" customHeight="1">
      <c r="A174" s="2">
        <v>45413</v>
      </c>
      <c r="B174" s="4">
        <v>9391</v>
      </c>
      <c r="C174" s="5">
        <v>3.6030000000000002</v>
      </c>
      <c r="D174" s="6">
        <v>17820.5</v>
      </c>
      <c r="E174" s="7">
        <f t="shared" si="70"/>
        <v>9.147507062804614</v>
      </c>
      <c r="F174" s="7">
        <f t="shared" si="71"/>
        <v>1.2817668317659563</v>
      </c>
      <c r="G174" s="7">
        <f t="shared" si="72"/>
        <v>9.7881047589925636</v>
      </c>
      <c r="H174" s="8">
        <f t="shared" si="73"/>
        <v>0</v>
      </c>
      <c r="I174" s="8">
        <f t="shared" si="74"/>
        <v>0</v>
      </c>
      <c r="J174" s="8">
        <f t="shared" si="75"/>
        <v>0</v>
      </c>
      <c r="K174" s="8">
        <f t="shared" si="76"/>
        <v>1</v>
      </c>
      <c r="L174" s="8">
        <f t="shared" si="77"/>
        <v>0</v>
      </c>
      <c r="M174" s="8">
        <f t="shared" si="78"/>
        <v>0</v>
      </c>
      <c r="N174" s="8">
        <f t="shared" si="79"/>
        <v>0</v>
      </c>
      <c r="O174" s="8">
        <f t="shared" si="80"/>
        <v>0</v>
      </c>
      <c r="P174" s="8">
        <f t="shared" si="81"/>
        <v>0</v>
      </c>
      <c r="Q174" s="8">
        <f t="shared" si="82"/>
        <v>0</v>
      </c>
      <c r="R174" s="8">
        <f t="shared" si="83"/>
        <v>0</v>
      </c>
    </row>
    <row r="175" spans="1:18" ht="21" customHeight="1">
      <c r="A175" s="2">
        <v>45444</v>
      </c>
      <c r="B175" s="4">
        <v>9199</v>
      </c>
      <c r="C175" s="5">
        <v>3.4550000000000001</v>
      </c>
      <c r="D175" s="6">
        <v>17869.8</v>
      </c>
      <c r="E175" s="7">
        <f t="shared" si="70"/>
        <v>9.1268500614771568</v>
      </c>
      <c r="F175" s="7">
        <f t="shared" si="71"/>
        <v>1.2398224572196332</v>
      </c>
      <c r="G175" s="7">
        <f t="shared" si="72"/>
        <v>9.790867416149041</v>
      </c>
      <c r="H175" s="8">
        <f t="shared" si="73"/>
        <v>0</v>
      </c>
      <c r="I175" s="8">
        <f t="shared" si="74"/>
        <v>0</v>
      </c>
      <c r="J175" s="8">
        <f t="shared" si="75"/>
        <v>0</v>
      </c>
      <c r="K175" s="8">
        <f t="shared" si="76"/>
        <v>0</v>
      </c>
      <c r="L175" s="8">
        <f t="shared" si="77"/>
        <v>1</v>
      </c>
      <c r="M175" s="8">
        <f t="shared" si="78"/>
        <v>0</v>
      </c>
      <c r="N175" s="8">
        <f t="shared" si="79"/>
        <v>0</v>
      </c>
      <c r="O175" s="8">
        <f t="shared" si="80"/>
        <v>0</v>
      </c>
      <c r="P175" s="8">
        <f t="shared" si="81"/>
        <v>0</v>
      </c>
      <c r="Q175" s="8">
        <f t="shared" si="82"/>
        <v>0</v>
      </c>
      <c r="R175" s="8">
        <f t="shared" si="83"/>
        <v>0</v>
      </c>
    </row>
    <row r="176" spans="1:18" ht="21" customHeight="1">
      <c r="A176" s="2">
        <v>45474</v>
      </c>
      <c r="B176" s="4">
        <v>9318</v>
      </c>
      <c r="C176" s="5">
        <v>3.484</v>
      </c>
      <c r="D176" s="6">
        <v>17862.8</v>
      </c>
      <c r="E176" s="7">
        <f t="shared" si="70"/>
        <v>9.1397032923767423</v>
      </c>
      <c r="F176" s="7">
        <f t="shared" si="71"/>
        <v>1.2481810589902564</v>
      </c>
      <c r="G176" s="7">
        <f t="shared" si="72"/>
        <v>9.7904756170586005</v>
      </c>
      <c r="H176" s="8">
        <f t="shared" si="73"/>
        <v>0</v>
      </c>
      <c r="I176" s="8">
        <f t="shared" si="74"/>
        <v>0</v>
      </c>
      <c r="J176" s="8">
        <f t="shared" si="75"/>
        <v>0</v>
      </c>
      <c r="K176" s="8">
        <f t="shared" si="76"/>
        <v>0</v>
      </c>
      <c r="L176" s="8">
        <f t="shared" si="77"/>
        <v>0</v>
      </c>
      <c r="M176" s="8">
        <f t="shared" si="78"/>
        <v>1</v>
      </c>
      <c r="N176" s="8">
        <f t="shared" si="79"/>
        <v>0</v>
      </c>
      <c r="O176" s="8">
        <f t="shared" si="80"/>
        <v>0</v>
      </c>
      <c r="P176" s="8">
        <f t="shared" si="81"/>
        <v>0</v>
      </c>
      <c r="Q176" s="8">
        <f t="shared" si="82"/>
        <v>0</v>
      </c>
      <c r="R176" s="8">
        <f t="shared" si="83"/>
        <v>0</v>
      </c>
    </row>
    <row r="177" spans="1:18" ht="21" customHeight="1">
      <c r="A177" s="2">
        <v>45505</v>
      </c>
      <c r="B177" s="4">
        <v>9257</v>
      </c>
      <c r="C177" s="5">
        <v>3.3889999999999998</v>
      </c>
      <c r="D177" s="6">
        <v>17865.2</v>
      </c>
      <c r="E177" s="7">
        <f t="shared" si="70"/>
        <v>9.1331353010672114</v>
      </c>
      <c r="F177" s="7">
        <f t="shared" si="71"/>
        <v>1.2205348926249142</v>
      </c>
      <c r="G177" s="7">
        <f t="shared" si="72"/>
        <v>9.7906099654690131</v>
      </c>
      <c r="H177" s="8">
        <f t="shared" si="73"/>
        <v>0</v>
      </c>
      <c r="I177" s="8">
        <f t="shared" si="74"/>
        <v>0</v>
      </c>
      <c r="J177" s="8">
        <f t="shared" si="75"/>
        <v>0</v>
      </c>
      <c r="K177" s="8">
        <f t="shared" si="76"/>
        <v>0</v>
      </c>
      <c r="L177" s="8">
        <f t="shared" si="77"/>
        <v>0</v>
      </c>
      <c r="M177" s="8">
        <f t="shared" si="78"/>
        <v>0</v>
      </c>
      <c r="N177" s="8">
        <f t="shared" si="79"/>
        <v>1</v>
      </c>
      <c r="O177" s="8">
        <f t="shared" si="80"/>
        <v>0</v>
      </c>
      <c r="P177" s="8">
        <f t="shared" si="81"/>
        <v>0</v>
      </c>
      <c r="Q177" s="8">
        <f t="shared" si="82"/>
        <v>0</v>
      </c>
      <c r="R177" s="8">
        <f t="shared" si="83"/>
        <v>0</v>
      </c>
    </row>
    <row r="178" spans="1:18" ht="21" customHeight="1">
      <c r="A178" s="2">
        <v>45536</v>
      </c>
      <c r="B178" s="4">
        <v>8983</v>
      </c>
      <c r="C178" s="5">
        <v>3.214</v>
      </c>
      <c r="D178" s="6">
        <v>17875.400000000001</v>
      </c>
      <c r="E178" s="7">
        <f t="shared" si="70"/>
        <v>9.1030891812292065</v>
      </c>
      <c r="F178" s="7">
        <f t="shared" si="71"/>
        <v>1.1675162673153208</v>
      </c>
      <c r="G178" s="7">
        <f t="shared" si="72"/>
        <v>9.791180744934211</v>
      </c>
      <c r="H178" s="8">
        <f t="shared" si="73"/>
        <v>0</v>
      </c>
      <c r="I178" s="8">
        <f t="shared" si="74"/>
        <v>0</v>
      </c>
      <c r="J178" s="8">
        <f t="shared" si="75"/>
        <v>0</v>
      </c>
      <c r="K178" s="8">
        <f t="shared" si="76"/>
        <v>0</v>
      </c>
      <c r="L178" s="8">
        <f t="shared" si="77"/>
        <v>0</v>
      </c>
      <c r="M178" s="8">
        <f t="shared" si="78"/>
        <v>0</v>
      </c>
      <c r="N178" s="8">
        <f t="shared" si="79"/>
        <v>0</v>
      </c>
      <c r="O178" s="8">
        <f t="shared" si="80"/>
        <v>1</v>
      </c>
      <c r="P178" s="8">
        <f t="shared" si="81"/>
        <v>0</v>
      </c>
      <c r="Q178" s="8">
        <f t="shared" si="82"/>
        <v>0</v>
      </c>
      <c r="R178" s="8">
        <f t="shared" si="83"/>
        <v>0</v>
      </c>
    </row>
    <row r="179" spans="1:18" ht="21" customHeight="1">
      <c r="A179" s="2">
        <v>45566</v>
      </c>
      <c r="B179" s="4">
        <v>9070</v>
      </c>
      <c r="C179" s="5">
        <v>3.137</v>
      </c>
      <c r="D179" s="6">
        <v>17914.400000000001</v>
      </c>
      <c r="E179" s="7">
        <f t="shared" si="70"/>
        <v>9.1127275431091821</v>
      </c>
      <c r="F179" s="7">
        <f t="shared" si="71"/>
        <v>1.1432669292085411</v>
      </c>
      <c r="G179" s="7">
        <f t="shared" si="72"/>
        <v>9.7933601376906214</v>
      </c>
      <c r="H179" s="8">
        <f t="shared" si="73"/>
        <v>0</v>
      </c>
      <c r="I179" s="8">
        <f t="shared" si="74"/>
        <v>0</v>
      </c>
      <c r="J179" s="8">
        <f t="shared" si="75"/>
        <v>0</v>
      </c>
      <c r="K179" s="8">
        <f t="shared" si="76"/>
        <v>0</v>
      </c>
      <c r="L179" s="8">
        <f t="shared" si="77"/>
        <v>0</v>
      </c>
      <c r="M179" s="8">
        <f t="shared" si="78"/>
        <v>0</v>
      </c>
      <c r="N179" s="8">
        <f t="shared" si="79"/>
        <v>0</v>
      </c>
      <c r="O179" s="8">
        <f t="shared" si="80"/>
        <v>0</v>
      </c>
      <c r="P179" s="8">
        <f t="shared" si="81"/>
        <v>1</v>
      </c>
      <c r="Q179" s="8">
        <f t="shared" si="82"/>
        <v>0</v>
      </c>
      <c r="R179" s="8">
        <f t="shared" si="83"/>
        <v>0</v>
      </c>
    </row>
    <row r="180" spans="1:18" ht="21" customHeight="1">
      <c r="A180" s="2">
        <v>45597</v>
      </c>
      <c r="B180" s="4">
        <v>8832</v>
      </c>
      <c r="C180" s="5">
        <v>3.0529999999999999</v>
      </c>
      <c r="D180" s="6">
        <v>17955.400000000001</v>
      </c>
      <c r="E180" s="7">
        <f t="shared" si="70"/>
        <v>9.0861367685168766</v>
      </c>
      <c r="F180" s="7">
        <f t="shared" si="71"/>
        <v>1.1161247137527408</v>
      </c>
      <c r="G180" s="7">
        <f t="shared" si="72"/>
        <v>9.7956461843290494</v>
      </c>
      <c r="H180" s="8">
        <f t="shared" si="73"/>
        <v>0</v>
      </c>
      <c r="I180" s="8">
        <f t="shared" si="74"/>
        <v>0</v>
      </c>
      <c r="J180" s="8">
        <f t="shared" si="75"/>
        <v>0</v>
      </c>
      <c r="K180" s="8">
        <f t="shared" si="76"/>
        <v>0</v>
      </c>
      <c r="L180" s="8">
        <f t="shared" si="77"/>
        <v>0</v>
      </c>
      <c r="M180" s="8">
        <f t="shared" si="78"/>
        <v>0</v>
      </c>
      <c r="N180" s="8">
        <f t="shared" si="79"/>
        <v>0</v>
      </c>
      <c r="O180" s="8">
        <f t="shared" si="80"/>
        <v>0</v>
      </c>
      <c r="P180" s="8">
        <f t="shared" si="81"/>
        <v>0</v>
      </c>
      <c r="Q180" s="8">
        <f t="shared" si="82"/>
        <v>1</v>
      </c>
      <c r="R180" s="8">
        <f t="shared" si="83"/>
        <v>0</v>
      </c>
    </row>
    <row r="181" spans="1:18" ht="21" customHeight="1">
      <c r="A181" s="2">
        <v>45627</v>
      </c>
      <c r="B181" s="4">
        <v>8773</v>
      </c>
      <c r="C181" s="5">
        <v>3.0179999999999998</v>
      </c>
      <c r="D181" s="6">
        <v>17963.900000000001</v>
      </c>
      <c r="E181" s="7">
        <f t="shared" si="70"/>
        <v>9.0794341021283831</v>
      </c>
      <c r="F181" s="7">
        <f t="shared" si="71"/>
        <v>1.1045943603456572</v>
      </c>
      <c r="G181" s="7">
        <f t="shared" si="72"/>
        <v>9.7961194675032015</v>
      </c>
      <c r="H181" s="8">
        <f t="shared" si="73"/>
        <v>0</v>
      </c>
      <c r="I181" s="8">
        <f t="shared" si="74"/>
        <v>0</v>
      </c>
      <c r="J181" s="8">
        <f t="shared" si="75"/>
        <v>0</v>
      </c>
      <c r="K181" s="8">
        <f t="shared" si="76"/>
        <v>0</v>
      </c>
      <c r="L181" s="8">
        <f t="shared" si="77"/>
        <v>0</v>
      </c>
      <c r="M181" s="8">
        <f t="shared" si="78"/>
        <v>0</v>
      </c>
      <c r="N181" s="8">
        <f t="shared" si="79"/>
        <v>0</v>
      </c>
      <c r="O181" s="8">
        <f t="shared" si="80"/>
        <v>0</v>
      </c>
      <c r="P181" s="8">
        <f t="shared" si="81"/>
        <v>0</v>
      </c>
      <c r="Q181" s="8">
        <f t="shared" si="82"/>
        <v>0</v>
      </c>
      <c r="R181" s="8">
        <f t="shared" si="83"/>
        <v>1</v>
      </c>
    </row>
    <row r="182" spans="1:18" ht="21" customHeight="1">
      <c r="A182" s="2">
        <v>45658</v>
      </c>
      <c r="B182" s="4">
        <v>8442</v>
      </c>
      <c r="C182" s="5">
        <v>3.0760000000000001</v>
      </c>
      <c r="D182" s="6">
        <v>17955.599999999999</v>
      </c>
      <c r="E182" s="7">
        <f t="shared" si="70"/>
        <v>9.0409745263424437</v>
      </c>
      <c r="F182" s="7">
        <f t="shared" si="71"/>
        <v>1.1236300516433975</v>
      </c>
      <c r="G182" s="7">
        <f t="shared" si="72"/>
        <v>9.7956573229773731</v>
      </c>
      <c r="H182" s="8">
        <f t="shared" si="73"/>
        <v>0</v>
      </c>
      <c r="I182" s="8">
        <f t="shared" si="74"/>
        <v>0</v>
      </c>
      <c r="J182" s="8">
        <f t="shared" si="75"/>
        <v>0</v>
      </c>
      <c r="K182" s="8">
        <f t="shared" si="76"/>
        <v>0</v>
      </c>
      <c r="L182" s="8">
        <f t="shared" si="77"/>
        <v>0</v>
      </c>
      <c r="M182" s="8">
        <f t="shared" si="78"/>
        <v>0</v>
      </c>
      <c r="N182" s="8">
        <f t="shared" si="79"/>
        <v>0</v>
      </c>
      <c r="O182" s="8">
        <f t="shared" si="80"/>
        <v>0</v>
      </c>
      <c r="P182" s="8">
        <f t="shared" si="81"/>
        <v>0</v>
      </c>
      <c r="Q182" s="8">
        <f t="shared" si="82"/>
        <v>0</v>
      </c>
      <c r="R182" s="8">
        <f t="shared" si="83"/>
        <v>0</v>
      </c>
    </row>
    <row r="183" spans="1:18" ht="21" customHeight="1">
      <c r="A183" s="2">
        <v>45689</v>
      </c>
      <c r="B183" s="4">
        <v>8676</v>
      </c>
      <c r="C183" s="5">
        <v>3.121</v>
      </c>
      <c r="D183" s="6">
        <v>17957.400000000001</v>
      </c>
      <c r="E183" s="7">
        <f t="shared" si="70"/>
        <v>9.0683158719467656</v>
      </c>
      <c r="F183" s="7">
        <f t="shared" si="71"/>
        <v>1.1381534632886423</v>
      </c>
      <c r="G183" s="7">
        <f t="shared" si="72"/>
        <v>9.7957575652295681</v>
      </c>
      <c r="H183" s="8">
        <f t="shared" si="73"/>
        <v>1</v>
      </c>
      <c r="I183" s="8">
        <f t="shared" si="74"/>
        <v>0</v>
      </c>
      <c r="J183" s="8">
        <f t="shared" si="75"/>
        <v>0</v>
      </c>
      <c r="K183" s="8">
        <f t="shared" si="76"/>
        <v>0</v>
      </c>
      <c r="L183" s="8">
        <f t="shared" si="77"/>
        <v>0</v>
      </c>
      <c r="M183" s="8">
        <f t="shared" si="78"/>
        <v>0</v>
      </c>
      <c r="N183" s="8">
        <f t="shared" si="79"/>
        <v>0</v>
      </c>
      <c r="O183" s="8">
        <f t="shared" si="80"/>
        <v>0</v>
      </c>
      <c r="P183" s="8">
        <f t="shared" si="81"/>
        <v>0</v>
      </c>
      <c r="Q183" s="8">
        <f t="shared" si="82"/>
        <v>0</v>
      </c>
      <c r="R183" s="8">
        <f t="shared" si="83"/>
        <v>0</v>
      </c>
    </row>
    <row r="184" spans="1:18" ht="21" customHeight="1">
      <c r="A184" s="2">
        <v>45717</v>
      </c>
      <c r="B184" s="4">
        <v>8758</v>
      </c>
      <c r="C184" s="5">
        <v>3.0960000000000001</v>
      </c>
      <c r="D184" s="6">
        <v>18073</v>
      </c>
      <c r="E184" s="7">
        <f t="shared" si="70"/>
        <v>9.0777228473613434</v>
      </c>
      <c r="F184" s="7">
        <f t="shared" si="71"/>
        <v>1.1301109557274807</v>
      </c>
      <c r="G184" s="7">
        <f t="shared" si="72"/>
        <v>9.8021743908356385</v>
      </c>
      <c r="H184" s="8">
        <f t="shared" si="73"/>
        <v>0</v>
      </c>
      <c r="I184" s="8">
        <f t="shared" si="74"/>
        <v>1</v>
      </c>
      <c r="J184" s="8">
        <f t="shared" si="75"/>
        <v>0</v>
      </c>
      <c r="K184" s="8">
        <f t="shared" si="76"/>
        <v>0</v>
      </c>
      <c r="L184" s="8">
        <f t="shared" si="77"/>
        <v>0</v>
      </c>
      <c r="M184" s="8">
        <f t="shared" si="78"/>
        <v>0</v>
      </c>
      <c r="N184" s="8">
        <f t="shared" si="79"/>
        <v>0</v>
      </c>
      <c r="O184" s="8">
        <f t="shared" si="80"/>
        <v>0</v>
      </c>
      <c r="P184" s="8">
        <f t="shared" si="81"/>
        <v>0</v>
      </c>
      <c r="Q184" s="8">
        <f t="shared" si="82"/>
        <v>0</v>
      </c>
      <c r="R184" s="8">
        <f t="shared" si="83"/>
        <v>0</v>
      </c>
    </row>
    <row r="185" spans="1:18" ht="21" customHeight="1">
      <c r="A185" s="2">
        <v>45748</v>
      </c>
      <c r="B185" s="4">
        <v>8921</v>
      </c>
      <c r="C185" s="5">
        <v>3.1709999999999998</v>
      </c>
      <c r="D185" s="6">
        <v>18190.099999999999</v>
      </c>
      <c r="E185" s="7">
        <f t="shared" si="70"/>
        <v>9.0961633269137838</v>
      </c>
      <c r="F185" s="7">
        <f t="shared" si="71"/>
        <v>1.1540469955562103</v>
      </c>
      <c r="G185" s="7">
        <f t="shared" si="72"/>
        <v>9.8086327690231698</v>
      </c>
      <c r="H185" s="8">
        <f t="shared" si="73"/>
        <v>0</v>
      </c>
      <c r="I185" s="8">
        <f t="shared" si="74"/>
        <v>0</v>
      </c>
      <c r="J185" s="8">
        <f t="shared" si="75"/>
        <v>1</v>
      </c>
      <c r="K185" s="8">
        <f t="shared" si="76"/>
        <v>0</v>
      </c>
      <c r="L185" s="8">
        <f t="shared" si="77"/>
        <v>0</v>
      </c>
      <c r="M185" s="8">
        <f t="shared" si="78"/>
        <v>0</v>
      </c>
      <c r="N185" s="8">
        <f t="shared" si="79"/>
        <v>0</v>
      </c>
      <c r="O185" s="8">
        <f t="shared" si="80"/>
        <v>0</v>
      </c>
      <c r="P185" s="8">
        <f t="shared" si="81"/>
        <v>0</v>
      </c>
      <c r="Q185" s="8">
        <f t="shared" si="82"/>
        <v>0</v>
      </c>
      <c r="R185" s="8">
        <f t="shared" si="83"/>
        <v>0</v>
      </c>
    </row>
    <row r="186" spans="1:18" ht="21" customHeight="1">
      <c r="A186" s="2">
        <v>45778</v>
      </c>
      <c r="B186" s="4">
        <v>9067</v>
      </c>
      <c r="C186" s="5">
        <v>3.15</v>
      </c>
      <c r="D186" s="6">
        <v>18072</v>
      </c>
      <c r="E186" s="7">
        <f t="shared" si="70"/>
        <v>9.1123967276460558</v>
      </c>
      <c r="F186" s="7">
        <f t="shared" si="71"/>
        <v>1.1474024528375417</v>
      </c>
      <c r="G186" s="7">
        <f t="shared" si="72"/>
        <v>9.8021190581478397</v>
      </c>
      <c r="H186" s="8">
        <f t="shared" si="73"/>
        <v>0</v>
      </c>
      <c r="I186" s="8">
        <f t="shared" si="74"/>
        <v>0</v>
      </c>
      <c r="J186" s="8">
        <f t="shared" si="75"/>
        <v>0</v>
      </c>
      <c r="K186" s="8">
        <f t="shared" si="76"/>
        <v>1</v>
      </c>
      <c r="L186" s="8">
        <f t="shared" si="77"/>
        <v>0</v>
      </c>
      <c r="M186" s="8">
        <f t="shared" si="78"/>
        <v>0</v>
      </c>
      <c r="N186" s="8">
        <f t="shared" si="79"/>
        <v>0</v>
      </c>
      <c r="O186" s="8">
        <f t="shared" si="80"/>
        <v>0</v>
      </c>
      <c r="P186" s="8">
        <f t="shared" si="81"/>
        <v>0</v>
      </c>
      <c r="Q186" s="8">
        <f t="shared" si="82"/>
        <v>0</v>
      </c>
      <c r="R186" s="8">
        <f t="shared" si="83"/>
        <v>0</v>
      </c>
    </row>
    <row r="187" spans="1:18" ht="21" customHeight="1">
      <c r="A187" s="2">
        <v>45809</v>
      </c>
      <c r="B187" s="4">
        <v>9394</v>
      </c>
      <c r="C187" s="5">
        <v>3.15</v>
      </c>
      <c r="D187" s="6">
        <v>18088.599999999999</v>
      </c>
      <c r="E187" s="7">
        <f t="shared" si="70"/>
        <v>9.14782646658694</v>
      </c>
      <c r="F187" s="7">
        <f t="shared" si="71"/>
        <v>1.1474024528375417</v>
      </c>
      <c r="G187" s="7">
        <f t="shared" si="72"/>
        <v>9.8030371845708562</v>
      </c>
      <c r="H187" s="8">
        <f t="shared" si="73"/>
        <v>0</v>
      </c>
      <c r="I187" s="8">
        <f t="shared" si="74"/>
        <v>0</v>
      </c>
      <c r="J187" s="8">
        <f t="shared" si="75"/>
        <v>0</v>
      </c>
      <c r="K187" s="8">
        <f t="shared" si="76"/>
        <v>0</v>
      </c>
      <c r="L187" s="8">
        <f t="shared" si="77"/>
        <v>1</v>
      </c>
      <c r="M187" s="8">
        <f t="shared" si="78"/>
        <v>0</v>
      </c>
      <c r="N187" s="8">
        <f t="shared" si="79"/>
        <v>0</v>
      </c>
      <c r="O187" s="8">
        <f t="shared" si="80"/>
        <v>0</v>
      </c>
      <c r="P187" s="8">
        <f t="shared" si="81"/>
        <v>0</v>
      </c>
      <c r="Q187" s="8">
        <f t="shared" si="82"/>
        <v>0</v>
      </c>
      <c r="R187" s="8">
        <f t="shared" si="83"/>
        <v>0</v>
      </c>
    </row>
    <row r="188" spans="1:18" ht="21" customHeight="1">
      <c r="A188" s="2">
        <v>45839</v>
      </c>
      <c r="B188" s="4">
        <v>9177</v>
      </c>
      <c r="C188" s="5">
        <v>3.125</v>
      </c>
      <c r="D188" s="6">
        <v>18144.400000000001</v>
      </c>
      <c r="E188" s="7">
        <f t="shared" si="70"/>
        <v>9.1244556328190125</v>
      </c>
      <c r="F188" s="7">
        <f t="shared" si="71"/>
        <v>1.1394342831883648</v>
      </c>
      <c r="G188" s="7">
        <f t="shared" si="72"/>
        <v>9.8061172521398507</v>
      </c>
      <c r="H188" s="8">
        <f t="shared" si="73"/>
        <v>0</v>
      </c>
      <c r="I188" s="8">
        <f t="shared" si="74"/>
        <v>0</v>
      </c>
      <c r="J188" s="8">
        <f t="shared" si="75"/>
        <v>0</v>
      </c>
      <c r="K188" s="8">
        <f t="shared" si="76"/>
        <v>0</v>
      </c>
      <c r="L188" s="8">
        <f t="shared" si="77"/>
        <v>0</v>
      </c>
      <c r="M188" s="8">
        <f t="shared" si="78"/>
        <v>1</v>
      </c>
      <c r="N188" s="8">
        <f t="shared" si="79"/>
        <v>0</v>
      </c>
      <c r="O188" s="8">
        <f t="shared" si="80"/>
        <v>0</v>
      </c>
      <c r="P188" s="8">
        <f t="shared" si="81"/>
        <v>0</v>
      </c>
      <c r="Q188" s="8">
        <f t="shared" si="82"/>
        <v>0</v>
      </c>
      <c r="R188" s="8">
        <f t="shared" si="83"/>
        <v>0</v>
      </c>
    </row>
    <row r="189" spans="1:18" ht="21" customHeight="1">
      <c r="A189" s="2">
        <v>45870</v>
      </c>
      <c r="B189" s="4">
        <v>9240</v>
      </c>
      <c r="C189" s="5">
        <v>3.133</v>
      </c>
      <c r="D189" s="6">
        <v>18174</v>
      </c>
      <c r="E189" s="7">
        <f t="shared" si="70"/>
        <v>9.131297164635729</v>
      </c>
      <c r="F189" s="7">
        <f t="shared" si="71"/>
        <v>1.1419910119700547</v>
      </c>
      <c r="G189" s="7">
        <f t="shared" si="72"/>
        <v>9.8077472802552919</v>
      </c>
      <c r="H189" s="8">
        <f t="shared" si="73"/>
        <v>0</v>
      </c>
      <c r="I189" s="8">
        <f t="shared" si="74"/>
        <v>0</v>
      </c>
      <c r="J189" s="8">
        <f t="shared" si="75"/>
        <v>0</v>
      </c>
      <c r="K189" s="8">
        <f t="shared" si="76"/>
        <v>0</v>
      </c>
      <c r="L189" s="8">
        <f t="shared" si="77"/>
        <v>0</v>
      </c>
      <c r="M189" s="8">
        <f t="shared" si="78"/>
        <v>0</v>
      </c>
      <c r="N189" s="8">
        <f t="shared" si="79"/>
        <v>1</v>
      </c>
      <c r="O189" s="8">
        <f t="shared" si="80"/>
        <v>0</v>
      </c>
      <c r="P189" s="8">
        <f t="shared" si="81"/>
        <v>0</v>
      </c>
      <c r="Q189" s="8">
        <f t="shared" si="82"/>
        <v>0</v>
      </c>
      <c r="R189" s="8">
        <f t="shared" si="83"/>
        <v>0</v>
      </c>
    </row>
    <row r="190" spans="1:18" ht="21" customHeight="1">
      <c r="A190" s="2">
        <v>45901</v>
      </c>
      <c r="B190" s="4">
        <v>9012</v>
      </c>
      <c r="C190" s="5">
        <v>3.1659999999999999</v>
      </c>
      <c r="D190" s="6">
        <v>18192.7</v>
      </c>
      <c r="E190" s="7">
        <f t="shared" si="70"/>
        <v>9.1063123015521352</v>
      </c>
      <c r="F190" s="7">
        <f t="shared" si="71"/>
        <v>1.1524689614588204</v>
      </c>
      <c r="G190" s="7">
        <f t="shared" si="72"/>
        <v>9.808775693702108</v>
      </c>
      <c r="H190" s="8">
        <f t="shared" si="73"/>
        <v>0</v>
      </c>
      <c r="I190" s="8">
        <f t="shared" si="74"/>
        <v>0</v>
      </c>
      <c r="J190" s="8">
        <f t="shared" si="75"/>
        <v>0</v>
      </c>
      <c r="K190" s="8">
        <f t="shared" si="76"/>
        <v>0</v>
      </c>
      <c r="L190" s="8">
        <f t="shared" si="77"/>
        <v>0</v>
      </c>
      <c r="M190" s="8">
        <f t="shared" si="78"/>
        <v>0</v>
      </c>
      <c r="N190" s="8">
        <f t="shared" si="79"/>
        <v>0</v>
      </c>
      <c r="O190" s="8">
        <f t="shared" si="80"/>
        <v>1</v>
      </c>
      <c r="P190" s="8">
        <f t="shared" si="81"/>
        <v>0</v>
      </c>
      <c r="Q190" s="8">
        <f t="shared" si="82"/>
        <v>0</v>
      </c>
      <c r="R190" s="8">
        <f t="shared" si="83"/>
        <v>0</v>
      </c>
    </row>
    <row r="191" spans="1:18" ht="21" customHeight="1">
      <c r="A191" s="2">
        <v>45931</v>
      </c>
      <c r="B191" s="4">
        <v>8942</v>
      </c>
      <c r="C191" s="5">
        <v>3.06</v>
      </c>
      <c r="D191" s="6">
        <v>18168.400000000001</v>
      </c>
      <c r="E191" s="7">
        <f t="shared" si="70"/>
        <v>9.0985145567939263</v>
      </c>
      <c r="F191" s="7">
        <f t="shared" si="71"/>
        <v>1.1184149159642893</v>
      </c>
      <c r="G191" s="7">
        <f t="shared" si="72"/>
        <v>9.8074391002757473</v>
      </c>
      <c r="H191" s="8">
        <f t="shared" si="73"/>
        <v>0</v>
      </c>
      <c r="I191" s="8">
        <f t="shared" si="74"/>
        <v>0</v>
      </c>
      <c r="J191" s="8">
        <f t="shared" si="75"/>
        <v>0</v>
      </c>
      <c r="K191" s="8">
        <f t="shared" si="76"/>
        <v>0</v>
      </c>
      <c r="L191" s="8">
        <f t="shared" si="77"/>
        <v>0</v>
      </c>
      <c r="M191" s="8">
        <f t="shared" si="78"/>
        <v>0</v>
      </c>
      <c r="N191" s="8">
        <f t="shared" si="79"/>
        <v>0</v>
      </c>
      <c r="O191" s="8">
        <f t="shared" si="80"/>
        <v>0</v>
      </c>
      <c r="P191" s="8">
        <f t="shared" si="81"/>
        <v>1</v>
      </c>
      <c r="Q191" s="8">
        <f t="shared" si="82"/>
        <v>0</v>
      </c>
      <c r="R191" s="8">
        <f t="shared" si="83"/>
        <v>0</v>
      </c>
    </row>
    <row r="192" spans="1:18" ht="21" customHeight="1">
      <c r="A192" s="2">
        <v>45962</v>
      </c>
      <c r="B192" s="4">
        <v>8714</v>
      </c>
      <c r="C192" s="5">
        <v>3.05</v>
      </c>
      <c r="D192" s="6">
        <v>18201.5</v>
      </c>
      <c r="E192" s="7">
        <f t="shared" si="70"/>
        <v>9.0726862066773872</v>
      </c>
      <c r="F192" s="7">
        <f t="shared" si="71"/>
        <v>1.1151415906193203</v>
      </c>
      <c r="G192" s="7">
        <f t="shared" si="72"/>
        <v>9.8092592872511624</v>
      </c>
      <c r="H192" s="8">
        <f t="shared" si="73"/>
        <v>0</v>
      </c>
      <c r="I192" s="8">
        <f t="shared" si="74"/>
        <v>0</v>
      </c>
      <c r="J192" s="8">
        <f t="shared" si="75"/>
        <v>0</v>
      </c>
      <c r="K192" s="8">
        <f t="shared" si="76"/>
        <v>0</v>
      </c>
      <c r="L192" s="8">
        <f t="shared" si="77"/>
        <v>0</v>
      </c>
      <c r="M192" s="8">
        <f t="shared" si="78"/>
        <v>0</v>
      </c>
      <c r="N192" s="8">
        <f t="shared" si="79"/>
        <v>0</v>
      </c>
      <c r="O192" s="8">
        <f t="shared" si="80"/>
        <v>0</v>
      </c>
      <c r="P192" s="8">
        <f t="shared" si="81"/>
        <v>0</v>
      </c>
      <c r="Q192" s="8">
        <f t="shared" si="82"/>
        <v>1</v>
      </c>
      <c r="R192" s="8">
        <f t="shared" si="83"/>
        <v>0</v>
      </c>
    </row>
    <row r="193" spans="1:18" ht="21" customHeight="1">
      <c r="A193" s="2">
        <v>45992</v>
      </c>
      <c r="B193" s="4">
        <v>8858</v>
      </c>
      <c r="C193" s="5">
        <v>2.8940000000000001</v>
      </c>
      <c r="D193" s="6">
        <v>18208.599999999999</v>
      </c>
      <c r="E193" s="7">
        <f t="shared" si="70"/>
        <v>9.0890762844831432</v>
      </c>
      <c r="F193" s="7">
        <f t="shared" si="71"/>
        <v>1.0626396282092923</v>
      </c>
      <c r="G193" s="7">
        <f t="shared" si="72"/>
        <v>9.8096492889314639</v>
      </c>
      <c r="H193" s="8">
        <f t="shared" si="73"/>
        <v>0</v>
      </c>
      <c r="I193" s="8">
        <f t="shared" si="74"/>
        <v>0</v>
      </c>
      <c r="J193" s="8">
        <f t="shared" si="75"/>
        <v>0</v>
      </c>
      <c r="K193" s="8">
        <f t="shared" si="76"/>
        <v>0</v>
      </c>
      <c r="L193" s="8">
        <f t="shared" si="77"/>
        <v>0</v>
      </c>
      <c r="M193" s="8">
        <f t="shared" si="78"/>
        <v>0</v>
      </c>
      <c r="N193" s="8">
        <f t="shared" si="79"/>
        <v>0</v>
      </c>
      <c r="O193" s="8">
        <f t="shared" si="80"/>
        <v>0</v>
      </c>
      <c r="P193" s="8">
        <f t="shared" si="81"/>
        <v>0</v>
      </c>
      <c r="Q193" s="8">
        <f t="shared" si="82"/>
        <v>0</v>
      </c>
      <c r="R193" s="8">
        <f t="shared" si="83"/>
        <v>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7365D"/>
  </sheetPr>
  <dimension ref="A1:G47"/>
  <sheetViews>
    <sheetView showGridLines="0" workbookViewId="0"/>
  </sheetViews>
  <sheetFormatPr baseColWidth="10" defaultColWidth="8.83203125" defaultRowHeight="14"/>
  <cols>
    <col min="1" max="1" width="28" customWidth="1"/>
    <col min="2" max="7" width="18" customWidth="1"/>
  </cols>
  <sheetData>
    <row r="1" spans="1:7" ht="21" customHeight="1">
      <c r="A1" s="10" t="s">
        <v>121</v>
      </c>
      <c r="B1" s="1"/>
      <c r="C1" s="1"/>
      <c r="D1" s="1"/>
      <c r="E1" s="1"/>
      <c r="F1" s="1"/>
      <c r="G1" s="1"/>
    </row>
    <row r="2" spans="1:7" ht="21" customHeight="1">
      <c r="A2" s="1"/>
      <c r="B2" s="1"/>
      <c r="C2" s="1"/>
      <c r="D2" s="1"/>
      <c r="E2" s="1"/>
      <c r="F2" s="1"/>
      <c r="G2" s="1"/>
    </row>
    <row r="3" spans="1:7" ht="21" customHeight="1">
      <c r="A3" s="1" t="s">
        <v>122</v>
      </c>
      <c r="B3" s="1"/>
      <c r="C3" s="1"/>
      <c r="D3" s="1"/>
      <c r="E3" s="1"/>
      <c r="F3" s="1"/>
      <c r="G3" s="1"/>
    </row>
    <row r="4" spans="1:7" ht="21" customHeight="1">
      <c r="A4" s="1" t="s">
        <v>123</v>
      </c>
      <c r="B4" s="1"/>
      <c r="C4" s="1"/>
      <c r="D4" s="1"/>
      <c r="E4" s="1"/>
      <c r="F4" s="1"/>
      <c r="G4" s="1"/>
    </row>
    <row r="5" spans="1:7" ht="21" customHeight="1">
      <c r="A5" s="1"/>
      <c r="B5" s="1"/>
      <c r="C5" s="1"/>
      <c r="D5" s="1"/>
      <c r="E5" s="1"/>
      <c r="F5" s="1"/>
      <c r="G5" s="1"/>
    </row>
    <row r="6" spans="1:7" ht="30" customHeight="1">
      <c r="A6" s="9" t="s">
        <v>124</v>
      </c>
      <c r="B6" s="9" t="s">
        <v>125</v>
      </c>
      <c r="C6" s="9" t="s">
        <v>126</v>
      </c>
      <c r="D6" s="9" t="s">
        <v>127</v>
      </c>
      <c r="E6" s="9" t="s">
        <v>80</v>
      </c>
      <c r="F6" s="9" t="s">
        <v>128</v>
      </c>
      <c r="G6" s="9" t="s">
        <v>129</v>
      </c>
    </row>
    <row r="7" spans="1:7" ht="21" customHeight="1">
      <c r="A7" s="1" t="s">
        <v>130</v>
      </c>
      <c r="B7" s="3">
        <v>9.5649533235368462</v>
      </c>
      <c r="C7" s="3">
        <v>0.27952950674585303</v>
      </c>
      <c r="D7" s="3">
        <v>34.218045296496229</v>
      </c>
      <c r="E7" s="34">
        <v>3.3604222475797706E-80</v>
      </c>
      <c r="F7" s="3">
        <v>9.0133351371391104</v>
      </c>
      <c r="G7" s="3">
        <v>10.116571509934582</v>
      </c>
    </row>
    <row r="8" spans="1:7" ht="21" customHeight="1">
      <c r="A8" s="12" t="s">
        <v>51</v>
      </c>
      <c r="B8" s="13">
        <v>-9.3953554112408081E-3</v>
      </c>
      <c r="C8" s="13">
        <v>1.8401990539186678E-2</v>
      </c>
      <c r="D8" s="13">
        <v>-0.51056190857361783</v>
      </c>
      <c r="E8" s="35">
        <v>0.61029044603858495</v>
      </c>
      <c r="F8" s="13">
        <v>-4.570949185252738E-2</v>
      </c>
      <c r="G8" s="13">
        <v>2.6918781030045767E-2</v>
      </c>
    </row>
    <row r="9" spans="1:7" ht="21" customHeight="1">
      <c r="A9" s="12" t="s">
        <v>54</v>
      </c>
      <c r="B9" s="13">
        <v>-5.3996321725143015E-2</v>
      </c>
      <c r="C9" s="13">
        <v>2.8944582382134484E-2</v>
      </c>
      <c r="D9" s="13">
        <v>-1.8655070234653397</v>
      </c>
      <c r="E9" s="35">
        <v>6.3755938023078274E-2</v>
      </c>
      <c r="F9" s="13">
        <v>-0.11111500742507312</v>
      </c>
      <c r="G9" s="13">
        <v>3.1223639747870874E-3</v>
      </c>
    </row>
    <row r="10" spans="1:7" ht="21" customHeight="1">
      <c r="A10" s="1" t="s">
        <v>131</v>
      </c>
      <c r="B10" s="3">
        <v>3.4361758088937142E-2</v>
      </c>
      <c r="C10" s="3">
        <v>1.7730215556780116E-2</v>
      </c>
      <c r="D10" s="3">
        <v>1.9380338597066322</v>
      </c>
      <c r="E10" s="34">
        <v>5.4201297598268701E-2</v>
      </c>
      <c r="F10" s="3">
        <v>-6.2671044066312659E-4</v>
      </c>
      <c r="G10" s="3">
        <v>6.9350226618537403E-2</v>
      </c>
    </row>
    <row r="11" spans="1:7" ht="21" customHeight="1">
      <c r="A11" s="1" t="s">
        <v>132</v>
      </c>
      <c r="B11" s="3">
        <v>5.4601665713176463E-2</v>
      </c>
      <c r="C11" s="3">
        <v>1.778169017805193E-2</v>
      </c>
      <c r="D11" s="3">
        <v>3.0706679267515131</v>
      </c>
      <c r="E11" s="34">
        <v>2.4708054177614296E-3</v>
      </c>
      <c r="F11" s="3">
        <v>1.9511618149713111E-2</v>
      </c>
      <c r="G11" s="3">
        <v>8.9691713276639815E-2</v>
      </c>
    </row>
    <row r="12" spans="1:7" ht="21" customHeight="1">
      <c r="A12" s="1" t="s">
        <v>133</v>
      </c>
      <c r="B12" s="3">
        <v>4.3373060056481193E-2</v>
      </c>
      <c r="C12" s="3">
        <v>1.7812398256153165E-2</v>
      </c>
      <c r="D12" s="3">
        <v>2.434992718709188</v>
      </c>
      <c r="E12" s="34">
        <v>1.5878651419905316E-2</v>
      </c>
      <c r="F12" s="3">
        <v>8.2224137585688029E-3</v>
      </c>
      <c r="G12" s="3">
        <v>7.8523706354393583E-2</v>
      </c>
    </row>
    <row r="13" spans="1:7" ht="21" customHeight="1">
      <c r="A13" s="1" t="s">
        <v>134</v>
      </c>
      <c r="B13" s="3">
        <v>7.5981032984356406E-2</v>
      </c>
      <c r="C13" s="3">
        <v>1.7852428282200697E-2</v>
      </c>
      <c r="D13" s="3">
        <v>4.256061516298673</v>
      </c>
      <c r="E13" s="34">
        <v>3.3599476341368999E-5</v>
      </c>
      <c r="F13" s="3">
        <v>4.0751392198073708E-2</v>
      </c>
      <c r="G13" s="3">
        <v>0.1112106737706391</v>
      </c>
    </row>
    <row r="14" spans="1:7" ht="21" customHeight="1">
      <c r="A14" s="1" t="s">
        <v>135</v>
      </c>
      <c r="B14" s="3">
        <v>9.9545817819859245E-2</v>
      </c>
      <c r="C14" s="3">
        <v>1.7860598595450607E-2</v>
      </c>
      <c r="D14" s="3">
        <v>5.5734872091697545</v>
      </c>
      <c r="E14" s="34">
        <v>9.1164588223646196E-8</v>
      </c>
      <c r="F14" s="3">
        <v>6.4300053893555711E-2</v>
      </c>
      <c r="G14" s="3">
        <v>0.13479158174616279</v>
      </c>
    </row>
    <row r="15" spans="1:7" ht="21" customHeight="1">
      <c r="A15" s="1" t="s">
        <v>136</v>
      </c>
      <c r="B15" s="3">
        <v>9.2474801845638346E-2</v>
      </c>
      <c r="C15" s="3">
        <v>1.7841496717950517E-2</v>
      </c>
      <c r="D15" s="3">
        <v>5.1831302781116158</v>
      </c>
      <c r="E15" s="34">
        <v>5.8789387605616107E-7</v>
      </c>
      <c r="F15" s="3">
        <v>5.7266733199328894E-2</v>
      </c>
      <c r="G15" s="3">
        <v>0.12768287049194779</v>
      </c>
    </row>
    <row r="16" spans="1:7" ht="21" customHeight="1">
      <c r="A16" s="1" t="s">
        <v>137</v>
      </c>
      <c r="B16" s="3">
        <v>0.10209170944599739</v>
      </c>
      <c r="C16" s="3">
        <v>1.7822143447141881E-2</v>
      </c>
      <c r="D16" s="3">
        <v>5.7283631314486891</v>
      </c>
      <c r="E16" s="34">
        <v>4.2472675823359361E-8</v>
      </c>
      <c r="F16" s="3">
        <v>6.6921832174432622E-2</v>
      </c>
      <c r="G16" s="3">
        <v>0.13726158671756217</v>
      </c>
    </row>
    <row r="17" spans="1:7" ht="21" customHeight="1">
      <c r="A17" s="1" t="s">
        <v>138</v>
      </c>
      <c r="B17" s="3">
        <v>6.8163180609833923E-2</v>
      </c>
      <c r="C17" s="3">
        <v>1.7809055132049438E-2</v>
      </c>
      <c r="D17" s="3">
        <v>3.8274450892774463</v>
      </c>
      <c r="E17" s="34">
        <v>1.7911057075059559E-4</v>
      </c>
      <c r="F17" s="3">
        <v>3.3019131569135871E-2</v>
      </c>
      <c r="G17" s="3">
        <v>0.10330722965053198</v>
      </c>
    </row>
    <row r="18" spans="1:7" ht="21" customHeight="1">
      <c r="A18" s="1" t="s">
        <v>139</v>
      </c>
      <c r="B18" s="3">
        <v>6.9244703035903576E-2</v>
      </c>
      <c r="C18" s="3">
        <v>1.7782556333101034E-2</v>
      </c>
      <c r="D18" s="3">
        <v>3.8939678715938726</v>
      </c>
      <c r="E18" s="34">
        <v>1.3933630845539412E-4</v>
      </c>
      <c r="F18" s="3">
        <v>3.4152946218619806E-2</v>
      </c>
      <c r="G18" s="3">
        <v>0.10433645985318735</v>
      </c>
    </row>
    <row r="19" spans="1:7" ht="21" customHeight="1">
      <c r="A19" s="1" t="s">
        <v>140</v>
      </c>
      <c r="B19" s="3">
        <v>5.4300074394153984E-2</v>
      </c>
      <c r="C19" s="3">
        <v>1.7749333161655008E-2</v>
      </c>
      <c r="D19" s="3">
        <v>3.0592740526986009</v>
      </c>
      <c r="E19" s="34">
        <v>2.5617897393228448E-3</v>
      </c>
      <c r="F19" s="3">
        <v>1.9273879548458779E-2</v>
      </c>
      <c r="G19" s="3">
        <v>8.9326269239849182E-2</v>
      </c>
    </row>
    <row r="20" spans="1:7" ht="21" customHeight="1">
      <c r="A20" s="1" t="s">
        <v>141</v>
      </c>
      <c r="B20" s="3">
        <v>4.8694179121195016E-2</v>
      </c>
      <c r="C20" s="3">
        <v>1.773538997279929E-2</v>
      </c>
      <c r="D20" s="3">
        <v>2.7455939337041428</v>
      </c>
      <c r="E20" s="34">
        <v>6.6602078817786688E-3</v>
      </c>
      <c r="F20" s="3">
        <v>1.3695499497913113E-2</v>
      </c>
      <c r="G20" s="3">
        <v>8.369285874447692E-2</v>
      </c>
    </row>
    <row r="21" spans="1:7" ht="21" customHeight="1">
      <c r="A21" s="1"/>
      <c r="B21" s="1"/>
      <c r="C21" s="1"/>
      <c r="D21" s="1"/>
      <c r="E21" s="1"/>
      <c r="F21" s="1"/>
      <c r="G21" s="1"/>
    </row>
    <row r="22" spans="1:7" ht="21" customHeight="1">
      <c r="A22" s="1"/>
      <c r="B22" s="1"/>
      <c r="C22" s="1"/>
      <c r="D22" s="1"/>
      <c r="E22" s="1"/>
      <c r="F22" s="1"/>
      <c r="G22" s="1"/>
    </row>
    <row r="23" spans="1:7" ht="21" customHeight="1">
      <c r="A23" s="9" t="s">
        <v>142</v>
      </c>
      <c r="B23" s="9" t="s">
        <v>34</v>
      </c>
      <c r="C23" s="1"/>
      <c r="D23" s="9" t="s">
        <v>143</v>
      </c>
      <c r="E23" s="9" t="s">
        <v>144</v>
      </c>
      <c r="F23" s="9" t="s">
        <v>145</v>
      </c>
      <c r="G23" s="9" t="s">
        <v>146</v>
      </c>
    </row>
    <row r="24" spans="1:7" ht="21" customHeight="1">
      <c r="A24" s="1" t="s">
        <v>147</v>
      </c>
      <c r="B24" s="1">
        <v>192</v>
      </c>
      <c r="C24" s="1"/>
      <c r="D24" s="1" t="s">
        <v>148</v>
      </c>
      <c r="E24" s="1">
        <v>13</v>
      </c>
      <c r="F24" s="3">
        <v>0.15628059285814155</v>
      </c>
      <c r="G24" s="3">
        <v>1.202158406601089E-2</v>
      </c>
    </row>
    <row r="25" spans="1:7" ht="21" customHeight="1">
      <c r="A25" s="1" t="s">
        <v>149</v>
      </c>
      <c r="B25" s="1">
        <v>178</v>
      </c>
      <c r="C25" s="1"/>
      <c r="D25" s="1" t="s">
        <v>150</v>
      </c>
      <c r="E25" s="1">
        <v>178</v>
      </c>
      <c r="F25" s="3">
        <v>0.44746192833500531</v>
      </c>
      <c r="G25" s="3">
        <v>2.5138310580618277E-3</v>
      </c>
    </row>
    <row r="26" spans="1:7" ht="21" customHeight="1">
      <c r="A26" s="1" t="s">
        <v>151</v>
      </c>
      <c r="B26" s="3">
        <v>0.25885304972273915</v>
      </c>
      <c r="C26" s="1"/>
      <c r="D26" s="1" t="s">
        <v>152</v>
      </c>
      <c r="E26" s="1">
        <v>191</v>
      </c>
      <c r="F26" s="3">
        <v>0.60374252119314686</v>
      </c>
      <c r="G26" s="3"/>
    </row>
    <row r="27" spans="1:7" ht="21" customHeight="1">
      <c r="A27" s="1" t="s">
        <v>153</v>
      </c>
      <c r="B27" s="3">
        <v>0.20472433987102912</v>
      </c>
      <c r="C27" s="1"/>
      <c r="D27" s="1"/>
      <c r="E27" s="1"/>
      <c r="F27" s="1"/>
      <c r="G27" s="1"/>
    </row>
    <row r="28" spans="1:7" ht="21" customHeight="1">
      <c r="A28" s="1" t="s">
        <v>154</v>
      </c>
      <c r="B28" s="3">
        <v>5.0138119809799687E-2</v>
      </c>
      <c r="C28" s="1"/>
      <c r="D28" s="1"/>
      <c r="E28" s="1"/>
      <c r="F28" s="1"/>
      <c r="G28" s="1"/>
    </row>
    <row r="29" spans="1:7" ht="21" customHeight="1">
      <c r="A29" s="1" t="s">
        <v>155</v>
      </c>
      <c r="B29" s="3">
        <v>4.7821766015093994</v>
      </c>
      <c r="C29" s="1"/>
      <c r="D29" s="1"/>
      <c r="E29" s="1"/>
      <c r="F29" s="1"/>
      <c r="G29" s="1"/>
    </row>
    <row r="30" spans="1:7" ht="21" customHeight="1">
      <c r="A30" s="1" t="s">
        <v>156</v>
      </c>
      <c r="B30" s="14">
        <v>4.1799913243008403E-7</v>
      </c>
      <c r="C30" s="1"/>
      <c r="D30" s="1"/>
      <c r="E30" s="1"/>
      <c r="F30" s="1"/>
      <c r="G30" s="1"/>
    </row>
    <row r="31" spans="1:7" ht="21" customHeight="1">
      <c r="A31" s="1"/>
      <c r="B31" s="1"/>
      <c r="C31" s="1"/>
      <c r="D31" s="1"/>
      <c r="E31" s="1"/>
      <c r="F31" s="1"/>
      <c r="G31" s="1"/>
    </row>
    <row r="32" spans="1:7" ht="21" customHeight="1">
      <c r="A32" s="1"/>
      <c r="B32" s="1"/>
      <c r="C32" s="1"/>
      <c r="D32" s="1"/>
      <c r="E32" s="1"/>
      <c r="F32" s="1"/>
      <c r="G32" s="1"/>
    </row>
    <row r="33" spans="1:7" ht="21" customHeight="1">
      <c r="A33" s="15" t="s">
        <v>157</v>
      </c>
      <c r="B33" s="38" t="s">
        <v>158</v>
      </c>
      <c r="C33" s="38"/>
      <c r="D33" s="38"/>
      <c r="E33" s="38"/>
      <c r="F33" s="38"/>
      <c r="G33" s="38"/>
    </row>
    <row r="34" spans="1:7" ht="21" customHeight="1">
      <c r="A34" s="1"/>
      <c r="B34" s="38"/>
      <c r="C34" s="38"/>
      <c r="D34" s="38"/>
      <c r="E34" s="38"/>
      <c r="F34" s="38"/>
      <c r="G34" s="38"/>
    </row>
    <row r="35" spans="1:7" ht="21" customHeight="1">
      <c r="A35" s="15" t="s">
        <v>159</v>
      </c>
      <c r="B35" s="38" t="s">
        <v>160</v>
      </c>
      <c r="C35" s="38"/>
      <c r="D35" s="38"/>
      <c r="E35" s="38"/>
      <c r="F35" s="38"/>
      <c r="G35" s="38"/>
    </row>
    <row r="36" spans="1:7" ht="21" customHeight="1">
      <c r="A36" s="1"/>
      <c r="B36" s="38"/>
      <c r="C36" s="38"/>
      <c r="D36" s="38"/>
      <c r="E36" s="38"/>
      <c r="F36" s="38"/>
      <c r="G36" s="38"/>
    </row>
    <row r="37" spans="1:7" ht="21" customHeight="1">
      <c r="A37" s="15" t="s">
        <v>161</v>
      </c>
      <c r="B37" s="38" t="s">
        <v>162</v>
      </c>
      <c r="C37" s="38"/>
      <c r="D37" s="38"/>
      <c r="E37" s="38"/>
      <c r="F37" s="38"/>
      <c r="G37" s="38"/>
    </row>
    <row r="38" spans="1:7" ht="21" customHeight="1">
      <c r="A38" s="1"/>
      <c r="B38" s="38"/>
      <c r="C38" s="38"/>
      <c r="D38" s="38"/>
      <c r="E38" s="38"/>
      <c r="F38" s="38"/>
      <c r="G38" s="38"/>
    </row>
    <row r="39" spans="1:7" ht="21" customHeight="1">
      <c r="A39" s="15" t="s">
        <v>163</v>
      </c>
      <c r="B39" s="38" t="s">
        <v>164</v>
      </c>
      <c r="C39" s="38"/>
      <c r="D39" s="38"/>
      <c r="E39" s="38"/>
      <c r="F39" s="38"/>
      <c r="G39" s="38"/>
    </row>
    <row r="40" spans="1:7" ht="21" customHeight="1">
      <c r="A40" s="1"/>
      <c r="B40" s="38"/>
      <c r="C40" s="38"/>
      <c r="D40" s="38"/>
      <c r="E40" s="38"/>
      <c r="F40" s="38"/>
      <c r="G40" s="38"/>
    </row>
    <row r="41" spans="1:7" ht="21" customHeight="1">
      <c r="A41" s="15" t="s">
        <v>165</v>
      </c>
      <c r="B41" s="38" t="s">
        <v>166</v>
      </c>
      <c r="C41" s="38"/>
      <c r="D41" s="38"/>
      <c r="E41" s="38"/>
      <c r="F41" s="38"/>
      <c r="G41" s="38"/>
    </row>
    <row r="42" spans="1:7" ht="21" customHeight="1">
      <c r="A42" s="1"/>
      <c r="B42" s="38"/>
      <c r="C42" s="38"/>
      <c r="D42" s="38"/>
      <c r="E42" s="38"/>
      <c r="F42" s="38"/>
      <c r="G42" s="38"/>
    </row>
    <row r="43" spans="1:7" ht="21" customHeight="1">
      <c r="A43" s="15" t="s">
        <v>167</v>
      </c>
      <c r="B43" s="38" t="s">
        <v>168</v>
      </c>
      <c r="C43" s="38"/>
      <c r="D43" s="38"/>
      <c r="E43" s="38"/>
      <c r="F43" s="38"/>
      <c r="G43" s="38"/>
    </row>
    <row r="44" spans="1:7" ht="21" customHeight="1">
      <c r="A44" s="1"/>
      <c r="B44" s="38"/>
      <c r="C44" s="38"/>
      <c r="D44" s="38"/>
      <c r="E44" s="38"/>
      <c r="F44" s="38"/>
      <c r="G44" s="38"/>
    </row>
    <row r="45" spans="1:7" ht="21" customHeight="1">
      <c r="A45" s="1"/>
      <c r="B45" s="1"/>
      <c r="C45" s="1"/>
      <c r="D45" s="1"/>
      <c r="E45" s="1"/>
      <c r="F45" s="1"/>
      <c r="G45" s="1"/>
    </row>
    <row r="46" spans="1:7" ht="21" customHeight="1">
      <c r="A46" s="1"/>
      <c r="B46" s="1"/>
      <c r="C46" s="1"/>
      <c r="D46" s="1"/>
      <c r="E46" s="1"/>
      <c r="F46" s="1"/>
      <c r="G46" s="1"/>
    </row>
    <row r="47" spans="1:7" ht="21" customHeight="1">
      <c r="A47" s="1"/>
      <c r="B47" s="1"/>
      <c r="C47" s="1"/>
      <c r="D47" s="1"/>
      <c r="E47" s="1"/>
      <c r="F47" s="1"/>
      <c r="G47" s="1"/>
    </row>
  </sheetData>
  <mergeCells count="6">
    <mergeCell ref="B43:G44"/>
    <mergeCell ref="B33:G34"/>
    <mergeCell ref="B35:G36"/>
    <mergeCell ref="B37:G38"/>
    <mergeCell ref="B39:G40"/>
    <mergeCell ref="B41:G4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7365D"/>
  </sheetPr>
  <dimension ref="A1:L53"/>
  <sheetViews>
    <sheetView showGridLines="0" workbookViewId="0"/>
  </sheetViews>
  <sheetFormatPr baseColWidth="10" defaultColWidth="8.83203125" defaultRowHeight="14"/>
  <cols>
    <col min="1" max="1" width="43" customWidth="1"/>
    <col min="2" max="2" width="10" customWidth="1"/>
    <col min="3" max="12" width="15" customWidth="1"/>
  </cols>
  <sheetData>
    <row r="1" spans="1:12" ht="22" customHeight="1">
      <c r="A1" s="10" t="s">
        <v>169</v>
      </c>
      <c r="B1" s="1"/>
      <c r="C1" s="1"/>
      <c r="D1" s="1"/>
      <c r="E1" s="1"/>
      <c r="F1" s="1"/>
      <c r="G1" s="1"/>
      <c r="H1" s="1"/>
      <c r="I1" s="1"/>
      <c r="J1" s="1"/>
      <c r="K1" s="1"/>
      <c r="L1" s="1"/>
    </row>
    <row r="2" spans="1:12" ht="22" customHeight="1">
      <c r="A2" s="1"/>
      <c r="B2" s="1"/>
      <c r="C2" s="1"/>
      <c r="D2" s="1"/>
      <c r="E2" s="1"/>
      <c r="F2" s="1"/>
      <c r="G2" s="1"/>
      <c r="H2" s="1"/>
      <c r="I2" s="1"/>
      <c r="J2" s="1"/>
      <c r="K2" s="1"/>
      <c r="L2" s="1"/>
    </row>
    <row r="3" spans="1:12" ht="22" customHeight="1">
      <c r="A3" s="1" t="s">
        <v>170</v>
      </c>
      <c r="B3" s="1"/>
      <c r="C3" s="1"/>
      <c r="D3" s="1"/>
      <c r="E3" s="1"/>
      <c r="F3" s="1"/>
      <c r="G3" s="1"/>
      <c r="H3" s="1"/>
      <c r="I3" s="1"/>
      <c r="J3" s="1"/>
      <c r="K3" s="1"/>
      <c r="L3" s="1"/>
    </row>
    <row r="4" spans="1:12" ht="22" customHeight="1">
      <c r="A4" s="1"/>
      <c r="B4" s="1"/>
      <c r="C4" s="1"/>
      <c r="D4" s="1"/>
      <c r="E4" s="1"/>
      <c r="F4" s="1"/>
      <c r="G4" s="1"/>
      <c r="H4" s="1"/>
      <c r="I4" s="1"/>
      <c r="J4" s="1"/>
      <c r="K4" s="1"/>
      <c r="L4" s="1"/>
    </row>
    <row r="5" spans="1:12" ht="42" customHeight="1">
      <c r="A5" s="17" t="s">
        <v>171</v>
      </c>
      <c r="B5" s="17" t="s">
        <v>172</v>
      </c>
      <c r="C5" s="17" t="s">
        <v>79</v>
      </c>
      <c r="D5" s="17" t="s">
        <v>173</v>
      </c>
      <c r="E5" s="17" t="s">
        <v>174</v>
      </c>
      <c r="F5" s="17" t="s">
        <v>175</v>
      </c>
      <c r="G5" s="17" t="s">
        <v>176</v>
      </c>
      <c r="H5" s="17" t="s">
        <v>177</v>
      </c>
      <c r="I5" s="17" t="s">
        <v>178</v>
      </c>
      <c r="J5" s="17" t="s">
        <v>179</v>
      </c>
      <c r="K5" s="17" t="s">
        <v>151</v>
      </c>
      <c r="L5" s="17" t="s">
        <v>180</v>
      </c>
    </row>
    <row r="6" spans="1:12" ht="38" customHeight="1">
      <c r="A6" s="16" t="s">
        <v>82</v>
      </c>
      <c r="B6" s="1">
        <v>192</v>
      </c>
      <c r="C6" s="11">
        <v>-9.3953554112408081E-3</v>
      </c>
      <c r="D6" s="11">
        <v>1.8401990539186678E-2</v>
      </c>
      <c r="E6" s="34">
        <v>0.61029044603858495</v>
      </c>
      <c r="F6" s="11">
        <v>-4.570949185252738E-2</v>
      </c>
      <c r="G6" s="11">
        <v>2.6918781030045767E-2</v>
      </c>
      <c r="H6" s="11">
        <v>-5.3996321725143015E-2</v>
      </c>
      <c r="I6" s="11">
        <v>2.8944582382134484E-2</v>
      </c>
      <c r="J6" s="34">
        <v>6.3755938023078274E-2</v>
      </c>
      <c r="K6" s="11">
        <v>0.25885304972273915</v>
      </c>
      <c r="L6" s="1"/>
    </row>
    <row r="7" spans="1:12" ht="38" customHeight="1">
      <c r="A7" s="18" t="s">
        <v>84</v>
      </c>
      <c r="B7" s="19">
        <v>192</v>
      </c>
      <c r="C7" s="20">
        <v>-9.3953554112408081E-3</v>
      </c>
      <c r="D7" s="20">
        <v>7.3014702567905973E-2</v>
      </c>
      <c r="E7" s="35">
        <v>0.89761277451426624</v>
      </c>
      <c r="F7" s="20">
        <v>-0.15250154278624073</v>
      </c>
      <c r="G7" s="20">
        <v>0.1337108319637591</v>
      </c>
      <c r="H7" s="20">
        <v>-5.3996321725143015E-2</v>
      </c>
      <c r="I7" s="20">
        <v>6.3297454468717151E-2</v>
      </c>
      <c r="J7" s="35">
        <v>0.39362782600387886</v>
      </c>
      <c r="K7" s="20">
        <v>0.25885304972273904</v>
      </c>
      <c r="L7" s="19">
        <v>12</v>
      </c>
    </row>
    <row r="8" spans="1:12" ht="38" customHeight="1">
      <c r="A8" s="16" t="s">
        <v>181</v>
      </c>
      <c r="B8" s="1">
        <v>192</v>
      </c>
      <c r="C8" s="11">
        <v>-9.3953554112408081E-3</v>
      </c>
      <c r="D8" s="11">
        <v>6.3685341080878727E-2</v>
      </c>
      <c r="E8" s="34">
        <v>0.8827154738940276</v>
      </c>
      <c r="F8" s="11">
        <v>-0.13421633027291227</v>
      </c>
      <c r="G8" s="11">
        <v>0.11542561945043064</v>
      </c>
      <c r="H8" s="11">
        <v>-5.3996321725143015E-2</v>
      </c>
      <c r="I8" s="11">
        <v>5.3331477010227682E-2</v>
      </c>
      <c r="J8" s="34">
        <v>0.31131516518036512</v>
      </c>
      <c r="K8" s="11">
        <v>0.25885304972273904</v>
      </c>
      <c r="L8" s="1">
        <v>6</v>
      </c>
    </row>
    <row r="9" spans="1:12" ht="38" customHeight="1">
      <c r="A9" s="16" t="s">
        <v>182</v>
      </c>
      <c r="B9" s="1">
        <v>192</v>
      </c>
      <c r="C9" s="11">
        <v>-9.3953554112408081E-3</v>
      </c>
      <c r="D9" s="11">
        <v>5.5365243314062042E-2</v>
      </c>
      <c r="E9" s="34">
        <v>0.86524786932160069</v>
      </c>
      <c r="F9" s="11">
        <v>-0.11790923830209944</v>
      </c>
      <c r="G9" s="11">
        <v>9.9118527479617816E-2</v>
      </c>
      <c r="H9" s="11">
        <v>-5.3996321725143015E-2</v>
      </c>
      <c r="I9" s="11">
        <v>4.6124632186230557E-2</v>
      </c>
      <c r="J9" s="34">
        <v>0.24173494808175619</v>
      </c>
      <c r="K9" s="11">
        <v>0.25885304972273904</v>
      </c>
      <c r="L9" s="1">
        <v>3</v>
      </c>
    </row>
    <row r="10" spans="1:12" ht="38" customHeight="1">
      <c r="A10" s="16" t="s">
        <v>183</v>
      </c>
      <c r="B10" s="1">
        <v>192</v>
      </c>
      <c r="C10" s="11">
        <v>-9.3953554112408081E-3</v>
      </c>
      <c r="D10" s="11">
        <v>3.50829141783656E-2</v>
      </c>
      <c r="E10" s="34">
        <v>0.7888499576475464</v>
      </c>
      <c r="F10" s="11">
        <v>-7.8156603673547015E-2</v>
      </c>
      <c r="G10" s="11">
        <v>5.9365892851065395E-2</v>
      </c>
      <c r="H10" s="11">
        <v>-5.3996321725143015E-2</v>
      </c>
      <c r="I10" s="11">
        <v>3.0562208256419112E-2</v>
      </c>
      <c r="J10" s="34">
        <v>7.7267143793382051E-2</v>
      </c>
      <c r="K10" s="11">
        <v>0.25885304972273904</v>
      </c>
      <c r="L10" s="1">
        <v>0</v>
      </c>
    </row>
    <row r="11" spans="1:12" ht="38" customHeight="1">
      <c r="A11" s="16" t="s">
        <v>184</v>
      </c>
      <c r="B11" s="1">
        <v>192</v>
      </c>
      <c r="C11" s="11">
        <v>-5.1018283315800585E-2</v>
      </c>
      <c r="D11" s="11">
        <v>4.2841779126354673E-2</v>
      </c>
      <c r="E11" s="34">
        <v>0.23371109550790098</v>
      </c>
      <c r="F11" s="11">
        <v>-0.1349866274370756</v>
      </c>
      <c r="G11" s="11">
        <v>3.2950060805474433E-2</v>
      </c>
      <c r="H11" s="11">
        <v>3.2280456887008847E-2</v>
      </c>
      <c r="I11" s="11">
        <v>3.0304446974852319E-2</v>
      </c>
      <c r="J11" s="34">
        <v>0.28678304536268884</v>
      </c>
      <c r="K11" s="11">
        <v>0.48933381598153713</v>
      </c>
      <c r="L11" s="1">
        <v>12</v>
      </c>
    </row>
    <row r="12" spans="1:12" ht="38" customHeight="1">
      <c r="A12" s="16" t="s">
        <v>185</v>
      </c>
      <c r="B12" s="1">
        <v>170</v>
      </c>
      <c r="C12" s="11">
        <v>-0.11868111319626089</v>
      </c>
      <c r="D12" s="11">
        <v>1.136519897990561E-2</v>
      </c>
      <c r="E12" s="34">
        <v>1.5857516097843216E-25</v>
      </c>
      <c r="F12" s="11">
        <v>-0.14095649387400724</v>
      </c>
      <c r="G12" s="11">
        <v>-9.6405732518514531E-2</v>
      </c>
      <c r="H12" s="11">
        <v>4.7789384035489685E-2</v>
      </c>
      <c r="I12" s="11">
        <v>1.9023657221235151E-2</v>
      </c>
      <c r="J12" s="34">
        <v>1.2001409644852397E-2</v>
      </c>
      <c r="K12" s="11">
        <v>0.85173968944730949</v>
      </c>
      <c r="L12" s="1">
        <v>12</v>
      </c>
    </row>
    <row r="13" spans="1:12" ht="38" customHeight="1">
      <c r="A13" s="16" t="s">
        <v>186</v>
      </c>
      <c r="B13" s="1">
        <v>182</v>
      </c>
      <c r="C13" s="11">
        <v>-0.10879528407804084</v>
      </c>
      <c r="D13" s="11">
        <v>1.4825631616489282E-2</v>
      </c>
      <c r="E13" s="34">
        <v>2.1628554042386829E-13</v>
      </c>
      <c r="F13" s="11">
        <v>-0.13785298809441818</v>
      </c>
      <c r="G13" s="11">
        <v>-7.973758006166351E-2</v>
      </c>
      <c r="H13" s="11">
        <v>2.0284885941704349E-2</v>
      </c>
      <c r="I13" s="11">
        <v>2.7365686766208496E-2</v>
      </c>
      <c r="J13" s="34">
        <v>0.4585403074600744</v>
      </c>
      <c r="K13" s="11">
        <v>0.75493279135099145</v>
      </c>
      <c r="L13" s="1">
        <v>12</v>
      </c>
    </row>
    <row r="14" spans="1:12" ht="38" customHeight="1">
      <c r="A14" s="16" t="s">
        <v>187</v>
      </c>
      <c r="B14" s="1">
        <v>176</v>
      </c>
      <c r="C14" s="11">
        <v>-0.11775389412100831</v>
      </c>
      <c r="D14" s="11">
        <v>1.14709840412689E-2</v>
      </c>
      <c r="E14" s="34">
        <v>1.0093342497593391E-24</v>
      </c>
      <c r="F14" s="11">
        <v>-0.14023660970912907</v>
      </c>
      <c r="G14" s="11">
        <v>-9.5271178532887552E-2</v>
      </c>
      <c r="H14" s="11">
        <v>4.7523610114001115E-2</v>
      </c>
      <c r="I14" s="11">
        <v>1.8345385670066376E-2</v>
      </c>
      <c r="J14" s="34">
        <v>9.5838313348894748E-3</v>
      </c>
      <c r="K14" s="11">
        <v>0.84707189570888675</v>
      </c>
      <c r="L14" s="1">
        <v>12</v>
      </c>
    </row>
    <row r="15" spans="1:12" ht="22" customHeight="1">
      <c r="A15" s="1"/>
      <c r="B15" s="1"/>
      <c r="C15" s="1"/>
      <c r="D15" s="1"/>
      <c r="E15" s="1"/>
      <c r="F15" s="1"/>
      <c r="G15" s="1"/>
      <c r="H15" s="1"/>
      <c r="I15" s="1"/>
      <c r="J15" s="1"/>
      <c r="K15" s="1"/>
      <c r="L15" s="1"/>
    </row>
    <row r="16" spans="1:12" ht="22" customHeight="1">
      <c r="A16" s="1"/>
      <c r="B16" s="1"/>
      <c r="C16" s="1"/>
      <c r="D16" s="1"/>
      <c r="E16" s="1"/>
      <c r="F16" s="1"/>
      <c r="G16" s="1"/>
      <c r="H16" s="1"/>
      <c r="I16" s="1"/>
      <c r="J16" s="1"/>
      <c r="K16" s="1"/>
      <c r="L16" s="1"/>
    </row>
    <row r="17" spans="1:12" ht="32" customHeight="1">
      <c r="A17" s="17" t="s">
        <v>84</v>
      </c>
      <c r="B17" s="17" t="s">
        <v>125</v>
      </c>
      <c r="C17" s="17" t="s">
        <v>188</v>
      </c>
      <c r="D17" s="17" t="s">
        <v>189</v>
      </c>
      <c r="E17" s="17" t="s">
        <v>80</v>
      </c>
      <c r="F17" s="17" t="s">
        <v>128</v>
      </c>
      <c r="G17" s="17" t="s">
        <v>129</v>
      </c>
      <c r="H17" s="1"/>
      <c r="I17" s="1"/>
      <c r="J17" s="1"/>
      <c r="K17" s="1"/>
      <c r="L17" s="1"/>
    </row>
    <row r="18" spans="1:12" ht="22" customHeight="1">
      <c r="A18" s="1" t="s">
        <v>130</v>
      </c>
      <c r="B18" s="3">
        <v>9.5649533235368462</v>
      </c>
      <c r="C18" s="3">
        <v>0.55295911670105136</v>
      </c>
      <c r="D18" s="3">
        <v>17.29775861297172</v>
      </c>
      <c r="E18" s="34">
        <v>4.8904865428669307E-67</v>
      </c>
      <c r="F18" s="3">
        <v>8.4811733698797056</v>
      </c>
      <c r="G18" s="3">
        <v>10.648733277193987</v>
      </c>
      <c r="H18" s="1"/>
      <c r="I18" s="1"/>
      <c r="J18" s="1"/>
      <c r="K18" s="1"/>
      <c r="L18" s="1"/>
    </row>
    <row r="19" spans="1:12" ht="22" customHeight="1">
      <c r="A19" s="1" t="s">
        <v>51</v>
      </c>
      <c r="B19" s="3">
        <v>-9.3953554112408081E-3</v>
      </c>
      <c r="C19" s="3">
        <v>7.3014702567905973E-2</v>
      </c>
      <c r="D19" s="3">
        <v>-0.12867758247050082</v>
      </c>
      <c r="E19" s="34">
        <v>0.89761277451426624</v>
      </c>
      <c r="F19" s="3">
        <v>-0.15250154278624073</v>
      </c>
      <c r="G19" s="3">
        <v>0.1337108319637591</v>
      </c>
      <c r="H19" s="1"/>
      <c r="I19" s="1"/>
      <c r="J19" s="1"/>
      <c r="K19" s="1"/>
      <c r="L19" s="1"/>
    </row>
    <row r="20" spans="1:12" ht="22" customHeight="1">
      <c r="A20" s="1" t="s">
        <v>54</v>
      </c>
      <c r="B20" s="3">
        <v>-5.3996321725143015E-2</v>
      </c>
      <c r="C20" s="3">
        <v>6.3297454468717151E-2</v>
      </c>
      <c r="D20" s="3">
        <v>-0.85305676473655134</v>
      </c>
      <c r="E20" s="34">
        <v>0.39362782600387886</v>
      </c>
      <c r="F20" s="3">
        <v>-0.17805705279689255</v>
      </c>
      <c r="G20" s="3">
        <v>7.0064409346606502E-2</v>
      </c>
      <c r="H20" s="1"/>
      <c r="I20" s="1"/>
      <c r="J20" s="1"/>
      <c r="K20" s="1"/>
      <c r="L20" s="1"/>
    </row>
    <row r="21" spans="1:12" ht="22" customHeight="1">
      <c r="A21" s="1" t="s">
        <v>131</v>
      </c>
      <c r="B21" s="3">
        <v>3.4361758088937142E-2</v>
      </c>
      <c r="C21" s="3">
        <v>6.1318783502035583E-3</v>
      </c>
      <c r="D21" s="3">
        <v>5.6037899199021854</v>
      </c>
      <c r="E21" s="34">
        <v>2.0971486920706995E-8</v>
      </c>
      <c r="F21" s="3">
        <v>2.2343497364957284E-2</v>
      </c>
      <c r="G21" s="3">
        <v>4.6380018812917E-2</v>
      </c>
      <c r="H21" s="1"/>
      <c r="I21" s="1"/>
      <c r="J21" s="1"/>
      <c r="K21" s="1"/>
      <c r="L21" s="1"/>
    </row>
    <row r="22" spans="1:12" ht="22" customHeight="1">
      <c r="A22" s="1" t="s">
        <v>132</v>
      </c>
      <c r="B22" s="3">
        <v>5.4601665713176463E-2</v>
      </c>
      <c r="C22" s="3">
        <v>1.5559904334727986E-2</v>
      </c>
      <c r="D22" s="3">
        <v>3.5091260549277017</v>
      </c>
      <c r="E22" s="34">
        <v>4.4958177101339945E-4</v>
      </c>
      <c r="F22" s="3">
        <v>2.4104813614220941E-2</v>
      </c>
      <c r="G22" s="3">
        <v>8.5098517812131985E-2</v>
      </c>
      <c r="H22" s="1"/>
      <c r="I22" s="1"/>
      <c r="J22" s="1"/>
      <c r="K22" s="1"/>
      <c r="L22" s="1"/>
    </row>
    <row r="23" spans="1:12" ht="22" customHeight="1">
      <c r="A23" s="1" t="s">
        <v>133</v>
      </c>
      <c r="B23" s="3">
        <v>4.3373060056481193E-2</v>
      </c>
      <c r="C23" s="3">
        <v>3.2606802926518998E-2</v>
      </c>
      <c r="D23" s="3">
        <v>1.3301843837380953</v>
      </c>
      <c r="E23" s="34">
        <v>0.18345752810018262</v>
      </c>
      <c r="F23" s="3">
        <v>-2.0535099330491281E-2</v>
      </c>
      <c r="G23" s="3">
        <v>0.10728121944345367</v>
      </c>
      <c r="H23" s="1"/>
      <c r="I23" s="1"/>
      <c r="J23" s="1"/>
      <c r="K23" s="1"/>
      <c r="L23" s="1"/>
    </row>
    <row r="24" spans="1:12" ht="22" customHeight="1">
      <c r="A24" s="1" t="s">
        <v>134</v>
      </c>
      <c r="B24" s="3">
        <v>7.5981032984356406E-2</v>
      </c>
      <c r="C24" s="3">
        <v>2.2999684669321771E-2</v>
      </c>
      <c r="D24" s="3">
        <v>3.3035684652539623</v>
      </c>
      <c r="E24" s="34">
        <v>9.5462655833384105E-4</v>
      </c>
      <c r="F24" s="3">
        <v>3.090247937670771E-2</v>
      </c>
      <c r="G24" s="3">
        <v>0.12105958659200511</v>
      </c>
      <c r="H24" s="1"/>
      <c r="I24" s="1"/>
      <c r="J24" s="1"/>
      <c r="K24" s="1"/>
      <c r="L24" s="1"/>
    </row>
    <row r="25" spans="1:12" ht="22" customHeight="1">
      <c r="A25" s="1" t="s">
        <v>135</v>
      </c>
      <c r="B25" s="3">
        <v>9.9545817819859245E-2</v>
      </c>
      <c r="C25" s="3">
        <v>1.5593276480924267E-2</v>
      </c>
      <c r="D25" s="3">
        <v>6.3838935929621137</v>
      </c>
      <c r="E25" s="34">
        <v>1.7264107366867609E-10</v>
      </c>
      <c r="F25" s="3">
        <v>6.8983557516272206E-2</v>
      </c>
      <c r="G25" s="3">
        <v>0.13010807812344627</v>
      </c>
      <c r="H25" s="1"/>
      <c r="I25" s="1"/>
      <c r="J25" s="1"/>
      <c r="K25" s="1"/>
      <c r="L25" s="1"/>
    </row>
    <row r="26" spans="1:12" ht="22" customHeight="1">
      <c r="A26" s="1" t="s">
        <v>136</v>
      </c>
      <c r="B26" s="3">
        <v>9.2474801845638346E-2</v>
      </c>
      <c r="C26" s="3">
        <v>1.2900825062634064E-2</v>
      </c>
      <c r="D26" s="3">
        <v>7.1681308285841547</v>
      </c>
      <c r="E26" s="34">
        <v>7.602863114216299E-13</v>
      </c>
      <c r="F26" s="3">
        <v>6.71896493520239E-2</v>
      </c>
      <c r="G26" s="3">
        <v>0.11775995433925279</v>
      </c>
      <c r="H26" s="1"/>
      <c r="I26" s="1"/>
      <c r="J26" s="1"/>
      <c r="K26" s="1"/>
      <c r="L26" s="1"/>
    </row>
    <row r="27" spans="1:12" ht="22" customHeight="1">
      <c r="A27" s="1" t="s">
        <v>137</v>
      </c>
      <c r="B27" s="3">
        <v>0.10209170944599739</v>
      </c>
      <c r="C27" s="3">
        <v>1.1687931679032827E-2</v>
      </c>
      <c r="D27" s="3">
        <v>8.7347969041555391</v>
      </c>
      <c r="E27" s="34">
        <v>2.4409430116677409E-18</v>
      </c>
      <c r="F27" s="3">
        <v>7.9183784301328289E-2</v>
      </c>
      <c r="G27" s="3">
        <v>0.1249996345906665</v>
      </c>
      <c r="H27" s="1"/>
      <c r="I27" s="1"/>
      <c r="J27" s="1"/>
      <c r="K27" s="1"/>
      <c r="L27" s="1"/>
    </row>
    <row r="28" spans="1:12" ht="22" customHeight="1">
      <c r="A28" s="1" t="s">
        <v>138</v>
      </c>
      <c r="B28" s="3">
        <v>6.8163180609833923E-2</v>
      </c>
      <c r="C28" s="3">
        <v>1.0124906044470992E-2</v>
      </c>
      <c r="D28" s="3">
        <v>6.732228458263716</v>
      </c>
      <c r="E28" s="34">
        <v>1.6708401601587377E-11</v>
      </c>
      <c r="F28" s="3">
        <v>4.8318729415818884E-2</v>
      </c>
      <c r="G28" s="3">
        <v>8.8007631803848962E-2</v>
      </c>
      <c r="H28" s="1"/>
      <c r="I28" s="1"/>
      <c r="J28" s="1"/>
      <c r="K28" s="1"/>
      <c r="L28" s="1"/>
    </row>
    <row r="29" spans="1:12" ht="22" customHeight="1">
      <c r="A29" s="1" t="s">
        <v>139</v>
      </c>
      <c r="B29" s="3">
        <v>6.9244703035903576E-2</v>
      </c>
      <c r="C29" s="3">
        <v>8.5962989860955633E-3</v>
      </c>
      <c r="D29" s="3">
        <v>8.055176204074133</v>
      </c>
      <c r="E29" s="34">
        <v>7.9364395173384181E-16</v>
      </c>
      <c r="F29" s="3">
        <v>5.2396266622818086E-2</v>
      </c>
      <c r="G29" s="3">
        <v>8.6093139448989067E-2</v>
      </c>
      <c r="H29" s="1"/>
      <c r="I29" s="1"/>
      <c r="J29" s="1"/>
      <c r="K29" s="1"/>
      <c r="L29" s="1"/>
    </row>
    <row r="30" spans="1:12" ht="22" customHeight="1">
      <c r="A30" s="1" t="s">
        <v>140</v>
      </c>
      <c r="B30" s="3">
        <v>5.4300074394153984E-2</v>
      </c>
      <c r="C30" s="3">
        <v>8.4207375262951075E-3</v>
      </c>
      <c r="D30" s="3">
        <v>6.4483751244583107</v>
      </c>
      <c r="E30" s="34">
        <v>1.1305565832737577E-10</v>
      </c>
      <c r="F30" s="3">
        <v>3.7795732119350667E-2</v>
      </c>
      <c r="G30" s="3">
        <v>7.0804416668957301E-2</v>
      </c>
      <c r="H30" s="1"/>
      <c r="I30" s="1"/>
      <c r="J30" s="1"/>
      <c r="K30" s="1"/>
      <c r="L30" s="1"/>
    </row>
    <row r="31" spans="1:12" ht="22" customHeight="1">
      <c r="A31" s="1" t="s">
        <v>141</v>
      </c>
      <c r="B31" s="3">
        <v>4.8694179121195016E-2</v>
      </c>
      <c r="C31" s="3">
        <v>6.9667458480112184E-3</v>
      </c>
      <c r="D31" s="3">
        <v>6.9895156481265408</v>
      </c>
      <c r="E31" s="34">
        <v>2.7583684983858528E-12</v>
      </c>
      <c r="F31" s="3">
        <v>3.5039608169649072E-2</v>
      </c>
      <c r="G31" s="3">
        <v>6.234875007274096E-2</v>
      </c>
      <c r="H31" s="1"/>
      <c r="I31" s="1"/>
      <c r="J31" s="1"/>
      <c r="K31" s="1"/>
      <c r="L31" s="1"/>
    </row>
    <row r="32" spans="1:12" ht="22" customHeight="1">
      <c r="A32" s="1"/>
      <c r="B32" s="1"/>
      <c r="C32" s="1"/>
      <c r="D32" s="1"/>
      <c r="E32" s="1"/>
      <c r="F32" s="1"/>
      <c r="G32" s="1"/>
      <c r="H32" s="1"/>
      <c r="I32" s="1"/>
      <c r="J32" s="1"/>
      <c r="K32" s="1"/>
      <c r="L32" s="1"/>
    </row>
    <row r="33" spans="1:12" ht="22" customHeight="1">
      <c r="A33" s="1"/>
      <c r="B33" s="1"/>
      <c r="C33" s="1"/>
      <c r="D33" s="1"/>
      <c r="E33" s="1"/>
      <c r="F33" s="1"/>
      <c r="G33" s="1"/>
      <c r="H33" s="1"/>
      <c r="I33" s="1"/>
      <c r="J33" s="1"/>
      <c r="K33" s="1"/>
      <c r="L33" s="1"/>
    </row>
    <row r="34" spans="1:12" ht="22" customHeight="1">
      <c r="A34" s="15" t="s">
        <v>190</v>
      </c>
      <c r="B34" s="38" t="s">
        <v>191</v>
      </c>
      <c r="C34" s="38"/>
      <c r="D34" s="38"/>
      <c r="E34" s="38"/>
      <c r="F34" s="38"/>
      <c r="G34" s="38"/>
      <c r="H34" s="38"/>
      <c r="I34" s="38"/>
      <c r="J34" s="38"/>
      <c r="K34" s="38"/>
      <c r="L34" s="38"/>
    </row>
    <row r="35" spans="1:12" ht="22" customHeight="1">
      <c r="A35" s="1"/>
      <c r="B35" s="38"/>
      <c r="C35" s="38"/>
      <c r="D35" s="38"/>
      <c r="E35" s="38"/>
      <c r="F35" s="38"/>
      <c r="G35" s="38"/>
      <c r="H35" s="38"/>
      <c r="I35" s="38"/>
      <c r="J35" s="38"/>
      <c r="K35" s="38"/>
      <c r="L35" s="38"/>
    </row>
    <row r="36" spans="1:12" ht="22" customHeight="1">
      <c r="A36" s="15" t="s">
        <v>192</v>
      </c>
      <c r="B36" s="38" t="s">
        <v>193</v>
      </c>
      <c r="C36" s="38"/>
      <c r="D36" s="38"/>
      <c r="E36" s="38"/>
      <c r="F36" s="38"/>
      <c r="G36" s="38"/>
      <c r="H36" s="38"/>
      <c r="I36" s="38"/>
      <c r="J36" s="38"/>
      <c r="K36" s="38"/>
      <c r="L36" s="38"/>
    </row>
    <row r="37" spans="1:12" ht="22" customHeight="1">
      <c r="A37" s="1"/>
      <c r="B37" s="38"/>
      <c r="C37" s="38"/>
      <c r="D37" s="38"/>
      <c r="E37" s="38"/>
      <c r="F37" s="38"/>
      <c r="G37" s="38"/>
      <c r="H37" s="38"/>
      <c r="I37" s="38"/>
      <c r="J37" s="38"/>
      <c r="K37" s="38"/>
      <c r="L37" s="38"/>
    </row>
    <row r="38" spans="1:12" ht="22" customHeight="1">
      <c r="A38" s="15" t="s">
        <v>194</v>
      </c>
      <c r="B38" s="38" t="s">
        <v>195</v>
      </c>
      <c r="C38" s="38"/>
      <c r="D38" s="38"/>
      <c r="E38" s="38"/>
      <c r="F38" s="38"/>
      <c r="G38" s="38"/>
      <c r="H38" s="38"/>
      <c r="I38" s="38"/>
      <c r="J38" s="38"/>
      <c r="K38" s="38"/>
      <c r="L38" s="38"/>
    </row>
    <row r="39" spans="1:12" ht="22" customHeight="1">
      <c r="A39" s="1"/>
      <c r="B39" s="38"/>
      <c r="C39" s="38"/>
      <c r="D39" s="38"/>
      <c r="E39" s="38"/>
      <c r="F39" s="38"/>
      <c r="G39" s="38"/>
      <c r="H39" s="38"/>
      <c r="I39" s="38"/>
      <c r="J39" s="38"/>
      <c r="K39" s="38"/>
      <c r="L39" s="38"/>
    </row>
    <row r="40" spans="1:12" ht="22" customHeight="1">
      <c r="A40" s="15" t="s">
        <v>196</v>
      </c>
      <c r="B40" s="38" t="s">
        <v>197</v>
      </c>
      <c r="C40" s="38"/>
      <c r="D40" s="38"/>
      <c r="E40" s="38"/>
      <c r="F40" s="38"/>
      <c r="G40" s="38"/>
      <c r="H40" s="38"/>
      <c r="I40" s="38"/>
      <c r="J40" s="38"/>
      <c r="K40" s="38"/>
      <c r="L40" s="38"/>
    </row>
    <row r="41" spans="1:12" ht="22" customHeight="1">
      <c r="A41" s="1"/>
      <c r="B41" s="38"/>
      <c r="C41" s="38"/>
      <c r="D41" s="38"/>
      <c r="E41" s="38"/>
      <c r="F41" s="38"/>
      <c r="G41" s="38"/>
      <c r="H41" s="38"/>
      <c r="I41" s="38"/>
      <c r="J41" s="38"/>
      <c r="K41" s="38"/>
      <c r="L41" s="38"/>
    </row>
    <row r="42" spans="1:12" ht="22" customHeight="1">
      <c r="A42" s="15" t="s">
        <v>198</v>
      </c>
      <c r="B42" s="38" t="s">
        <v>199</v>
      </c>
      <c r="C42" s="38"/>
      <c r="D42" s="38"/>
      <c r="E42" s="38"/>
      <c r="F42" s="38"/>
      <c r="G42" s="38"/>
      <c r="H42" s="38"/>
      <c r="I42" s="38"/>
      <c r="J42" s="38"/>
      <c r="K42" s="38"/>
      <c r="L42" s="38"/>
    </row>
    <row r="43" spans="1:12" ht="22" customHeight="1">
      <c r="A43" s="1"/>
      <c r="B43" s="38"/>
      <c r="C43" s="38"/>
      <c r="D43" s="38"/>
      <c r="E43" s="38"/>
      <c r="F43" s="38"/>
      <c r="G43" s="38"/>
      <c r="H43" s="38"/>
      <c r="I43" s="38"/>
      <c r="J43" s="38"/>
      <c r="K43" s="38"/>
      <c r="L43" s="38"/>
    </row>
    <row r="44" spans="1:12" ht="22" customHeight="1">
      <c r="A44" s="15" t="s">
        <v>200</v>
      </c>
      <c r="B44" s="38" t="s">
        <v>201</v>
      </c>
      <c r="C44" s="38"/>
      <c r="D44" s="38"/>
      <c r="E44" s="38"/>
      <c r="F44" s="38"/>
      <c r="G44" s="38"/>
      <c r="H44" s="38"/>
      <c r="I44" s="38"/>
      <c r="J44" s="38"/>
      <c r="K44" s="38"/>
      <c r="L44" s="38"/>
    </row>
    <row r="45" spans="1:12" ht="22" customHeight="1">
      <c r="A45" s="1"/>
      <c r="B45" s="38"/>
      <c r="C45" s="38"/>
      <c r="D45" s="38"/>
      <c r="E45" s="38"/>
      <c r="F45" s="38"/>
      <c r="G45" s="38"/>
      <c r="H45" s="38"/>
      <c r="I45" s="38"/>
      <c r="J45" s="38"/>
      <c r="K45" s="38"/>
      <c r="L45" s="38"/>
    </row>
    <row r="46" spans="1:12" ht="22" customHeight="1">
      <c r="A46" s="15" t="s">
        <v>202</v>
      </c>
      <c r="B46" s="38" t="s">
        <v>203</v>
      </c>
      <c r="C46" s="38"/>
      <c r="D46" s="38"/>
      <c r="E46" s="38"/>
      <c r="F46" s="38"/>
      <c r="G46" s="38"/>
      <c r="H46" s="38"/>
      <c r="I46" s="38"/>
      <c r="J46" s="38"/>
      <c r="K46" s="38"/>
      <c r="L46" s="38"/>
    </row>
    <row r="47" spans="1:12" ht="22" customHeight="1">
      <c r="A47" s="1"/>
      <c r="B47" s="38"/>
      <c r="C47" s="38"/>
      <c r="D47" s="38"/>
      <c r="E47" s="38"/>
      <c r="F47" s="38"/>
      <c r="G47" s="38"/>
      <c r="H47" s="38"/>
      <c r="I47" s="38"/>
      <c r="J47" s="38"/>
      <c r="K47" s="38"/>
      <c r="L47" s="38"/>
    </row>
    <row r="48" spans="1:12" ht="22" customHeight="1">
      <c r="A48" s="15" t="s">
        <v>204</v>
      </c>
      <c r="B48" s="38" t="s">
        <v>205</v>
      </c>
      <c r="C48" s="38"/>
      <c r="D48" s="38"/>
      <c r="E48" s="38"/>
      <c r="F48" s="38"/>
      <c r="G48" s="38"/>
      <c r="H48" s="38"/>
      <c r="I48" s="38"/>
      <c r="J48" s="38"/>
      <c r="K48" s="38"/>
      <c r="L48" s="38"/>
    </row>
    <row r="49" spans="1:12" ht="22" customHeight="1">
      <c r="A49" s="1"/>
      <c r="B49" s="38"/>
      <c r="C49" s="38"/>
      <c r="D49" s="38"/>
      <c r="E49" s="38"/>
      <c r="F49" s="38"/>
      <c r="G49" s="38"/>
      <c r="H49" s="38"/>
      <c r="I49" s="38"/>
      <c r="J49" s="38"/>
      <c r="K49" s="38"/>
      <c r="L49" s="38"/>
    </row>
    <row r="50" spans="1:12" ht="22" customHeight="1">
      <c r="A50" s="15" t="s">
        <v>206</v>
      </c>
      <c r="B50" s="38" t="s">
        <v>207</v>
      </c>
      <c r="C50" s="38"/>
      <c r="D50" s="38"/>
      <c r="E50" s="38"/>
      <c r="F50" s="38"/>
      <c r="G50" s="38"/>
      <c r="H50" s="38"/>
      <c r="I50" s="38"/>
      <c r="J50" s="38"/>
      <c r="K50" s="38"/>
      <c r="L50" s="38"/>
    </row>
    <row r="51" spans="1:12" ht="22" customHeight="1">
      <c r="A51" s="1"/>
      <c r="B51" s="38"/>
      <c r="C51" s="38"/>
      <c r="D51" s="38"/>
      <c r="E51" s="38"/>
      <c r="F51" s="38"/>
      <c r="G51" s="38"/>
      <c r="H51" s="38"/>
      <c r="I51" s="38"/>
      <c r="J51" s="38"/>
      <c r="K51" s="38"/>
      <c r="L51" s="38"/>
    </row>
    <row r="52" spans="1:12" ht="22" customHeight="1">
      <c r="A52" s="15" t="s">
        <v>208</v>
      </c>
      <c r="B52" s="38" t="s">
        <v>209</v>
      </c>
      <c r="C52" s="38"/>
      <c r="D52" s="38"/>
      <c r="E52" s="38"/>
      <c r="F52" s="38"/>
      <c r="G52" s="38"/>
      <c r="H52" s="38"/>
      <c r="I52" s="38"/>
      <c r="J52" s="38"/>
      <c r="K52" s="38"/>
      <c r="L52" s="38"/>
    </row>
    <row r="53" spans="1:12" ht="22" customHeight="1">
      <c r="A53" s="1"/>
      <c r="B53" s="38"/>
      <c r="C53" s="38"/>
      <c r="D53" s="38"/>
      <c r="E53" s="38"/>
      <c r="F53" s="38"/>
      <c r="G53" s="38"/>
      <c r="H53" s="38"/>
      <c r="I53" s="38"/>
      <c r="J53" s="38"/>
      <c r="K53" s="38"/>
      <c r="L53" s="38"/>
    </row>
  </sheetData>
  <mergeCells count="10">
    <mergeCell ref="B44:L45"/>
    <mergeCell ref="B46:L47"/>
    <mergeCell ref="B48:L49"/>
    <mergeCell ref="B50:L51"/>
    <mergeCell ref="B52:L53"/>
    <mergeCell ref="B34:L35"/>
    <mergeCell ref="B36:L37"/>
    <mergeCell ref="B38:L39"/>
    <mergeCell ref="B40:L41"/>
    <mergeCell ref="B42:L4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7365D"/>
  </sheetPr>
  <dimension ref="A1:D27"/>
  <sheetViews>
    <sheetView showGridLines="0" workbookViewId="0"/>
  </sheetViews>
  <sheetFormatPr baseColWidth="10" defaultColWidth="8.83203125" defaultRowHeight="14"/>
  <cols>
    <col min="1" max="1" width="23" customWidth="1"/>
    <col min="2" max="2" width="46" customWidth="1"/>
    <col min="3" max="3" width="38" customWidth="1"/>
    <col min="4" max="4" width="75" customWidth="1"/>
  </cols>
  <sheetData>
    <row r="1" spans="1:4" ht="21" customHeight="1">
      <c r="A1" s="10" t="s">
        <v>210</v>
      </c>
      <c r="B1" s="1"/>
      <c r="C1" s="1"/>
      <c r="D1" s="1"/>
    </row>
    <row r="2" spans="1:4" ht="21" customHeight="1">
      <c r="A2" s="1"/>
      <c r="B2" s="1"/>
      <c r="C2" s="1"/>
      <c r="D2" s="1"/>
    </row>
    <row r="3" spans="1:4" ht="30" customHeight="1">
      <c r="A3" s="9" t="s">
        <v>211</v>
      </c>
      <c r="B3" s="9" t="s">
        <v>212</v>
      </c>
      <c r="C3" s="9" t="s">
        <v>213</v>
      </c>
      <c r="D3" s="9" t="s">
        <v>214</v>
      </c>
    </row>
    <row r="4" spans="1:4" ht="70" customHeight="1">
      <c r="A4" s="16" t="s">
        <v>215</v>
      </c>
      <c r="B4" s="16" t="s">
        <v>216</v>
      </c>
      <c r="C4" s="16" t="s">
        <v>217</v>
      </c>
      <c r="D4" s="16" t="s">
        <v>218</v>
      </c>
    </row>
    <row r="5" spans="1:4" ht="70" customHeight="1">
      <c r="A5" s="16" t="s">
        <v>219</v>
      </c>
      <c r="B5" s="16" t="s">
        <v>220</v>
      </c>
      <c r="C5" s="16" t="s">
        <v>221</v>
      </c>
      <c r="D5" s="16" t="s">
        <v>222</v>
      </c>
    </row>
    <row r="6" spans="1:4" ht="70" customHeight="1">
      <c r="A6" s="16" t="s">
        <v>223</v>
      </c>
      <c r="B6" s="16" t="s">
        <v>224</v>
      </c>
      <c r="C6" s="16" t="s">
        <v>225</v>
      </c>
      <c r="D6" s="16" t="s">
        <v>226</v>
      </c>
    </row>
    <row r="7" spans="1:4" ht="21" customHeight="1">
      <c r="A7" s="1"/>
      <c r="B7" s="1"/>
      <c r="C7" s="1"/>
      <c r="D7" s="1"/>
    </row>
    <row r="8" spans="1:4" ht="21" customHeight="1">
      <c r="A8" s="1"/>
      <c r="B8" s="1"/>
      <c r="C8" s="1"/>
      <c r="D8" s="1"/>
    </row>
    <row r="9" spans="1:4" ht="39" customHeight="1">
      <c r="A9" s="15" t="s">
        <v>227</v>
      </c>
      <c r="B9" s="38" t="s">
        <v>228</v>
      </c>
      <c r="C9" s="38"/>
      <c r="D9" s="38"/>
    </row>
    <row r="10" spans="1:4" ht="39" customHeight="1">
      <c r="A10" s="15" t="s">
        <v>229</v>
      </c>
      <c r="B10" s="38" t="s">
        <v>230</v>
      </c>
      <c r="C10" s="38"/>
      <c r="D10" s="38"/>
    </row>
    <row r="11" spans="1:4" ht="39" customHeight="1">
      <c r="A11" s="15" t="s">
        <v>231</v>
      </c>
      <c r="B11" s="38" t="s">
        <v>232</v>
      </c>
      <c r="C11" s="38"/>
      <c r="D11" s="38"/>
    </row>
    <row r="12" spans="1:4" ht="39" customHeight="1">
      <c r="A12" s="15" t="s">
        <v>233</v>
      </c>
      <c r="B12" s="38" t="s">
        <v>234</v>
      </c>
      <c r="C12" s="38"/>
      <c r="D12" s="38"/>
    </row>
    <row r="13" spans="1:4" ht="39" customHeight="1">
      <c r="A13" s="15" t="s">
        <v>235</v>
      </c>
      <c r="B13" s="38" t="s">
        <v>236</v>
      </c>
      <c r="C13" s="38"/>
      <c r="D13" s="38"/>
    </row>
    <row r="14" spans="1:4" ht="39" customHeight="1">
      <c r="A14" s="15" t="s">
        <v>237</v>
      </c>
      <c r="B14" s="38" t="s">
        <v>238</v>
      </c>
      <c r="C14" s="38"/>
      <c r="D14" s="38"/>
    </row>
    <row r="15" spans="1:4" ht="39" customHeight="1">
      <c r="A15" s="15" t="s">
        <v>239</v>
      </c>
      <c r="B15" s="38" t="s">
        <v>240</v>
      </c>
      <c r="C15" s="38"/>
      <c r="D15" s="38"/>
    </row>
    <row r="16" spans="1:4" ht="39" customHeight="1">
      <c r="A16" s="15" t="s">
        <v>241</v>
      </c>
      <c r="B16" s="38" t="s">
        <v>242</v>
      </c>
      <c r="C16" s="38"/>
      <c r="D16" s="38"/>
    </row>
    <row r="17" spans="1:4" ht="39" customHeight="1">
      <c r="A17" s="15" t="s">
        <v>243</v>
      </c>
      <c r="B17" s="38" t="s">
        <v>244</v>
      </c>
      <c r="C17" s="38"/>
      <c r="D17" s="38"/>
    </row>
    <row r="18" spans="1:4" ht="39" customHeight="1">
      <c r="A18" s="15" t="s">
        <v>245</v>
      </c>
      <c r="B18" s="38" t="s">
        <v>246</v>
      </c>
      <c r="C18" s="38"/>
      <c r="D18" s="38"/>
    </row>
    <row r="19" spans="1:4" ht="39" customHeight="1">
      <c r="A19" s="15" t="s">
        <v>247</v>
      </c>
      <c r="B19" s="38" t="s">
        <v>248</v>
      </c>
      <c r="C19" s="38"/>
      <c r="D19" s="38"/>
    </row>
    <row r="20" spans="1:4" ht="39" customHeight="1">
      <c r="A20" s="15" t="s">
        <v>249</v>
      </c>
      <c r="B20" s="38" t="s">
        <v>250</v>
      </c>
      <c r="C20" s="38"/>
      <c r="D20" s="38"/>
    </row>
    <row r="21" spans="1:4" ht="39" customHeight="1">
      <c r="A21" s="15" t="s">
        <v>251</v>
      </c>
      <c r="B21" s="38" t="s">
        <v>252</v>
      </c>
      <c r="C21" s="38"/>
      <c r="D21" s="38"/>
    </row>
    <row r="22" spans="1:4" ht="21" customHeight="1">
      <c r="A22" s="1"/>
      <c r="B22" s="1"/>
      <c r="C22" s="1"/>
      <c r="D22" s="1"/>
    </row>
    <row r="23" spans="1:4" ht="21" customHeight="1">
      <c r="A23" s="1"/>
      <c r="B23" s="1"/>
      <c r="C23" s="1"/>
      <c r="D23" s="1"/>
    </row>
    <row r="24" spans="1:4" ht="21" customHeight="1">
      <c r="A24" s="1"/>
      <c r="B24" s="1"/>
      <c r="C24" s="1"/>
      <c r="D24" s="1"/>
    </row>
    <row r="25" spans="1:4" ht="21" customHeight="1">
      <c r="A25" s="1"/>
      <c r="B25" s="1"/>
      <c r="C25" s="1"/>
      <c r="D25" s="1"/>
    </row>
    <row r="26" spans="1:4" ht="21" customHeight="1">
      <c r="A26" s="1"/>
      <c r="B26" s="1"/>
      <c r="C26" s="1"/>
      <c r="D26" s="1"/>
    </row>
    <row r="27" spans="1:4" ht="21" customHeight="1">
      <c r="A27" s="1"/>
      <c r="B27" s="1"/>
      <c r="C27" s="1"/>
      <c r="D27" s="1"/>
    </row>
  </sheetData>
  <mergeCells count="13">
    <mergeCell ref="B19:D19"/>
    <mergeCell ref="B20:D20"/>
    <mergeCell ref="B21:D21"/>
    <mergeCell ref="B14:D14"/>
    <mergeCell ref="B15:D15"/>
    <mergeCell ref="B16:D16"/>
    <mergeCell ref="B17:D17"/>
    <mergeCell ref="B18:D18"/>
    <mergeCell ref="B9:D9"/>
    <mergeCell ref="B10:D10"/>
    <mergeCell ref="B11:D11"/>
    <mergeCell ref="B12:D12"/>
    <mergeCell ref="B13:D1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Start Here</vt:lpstr>
      <vt:lpstr>Monthly Data</vt:lpstr>
      <vt:lpstr>OLS Results</vt:lpstr>
      <vt:lpstr>Robustness</vt:lpstr>
      <vt:lpstr>Sources and 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Frank-Briggs, Tonte D</cp:lastModifiedBy>
  <dcterms:created xsi:type="dcterms:W3CDTF">2026-10-05T08:29:53Z</dcterms:created>
  <dcterms:modified xsi:type="dcterms:W3CDTF">2026-10-05T08:29:53Z</dcterms:modified>
</cp:coreProperties>
</file>